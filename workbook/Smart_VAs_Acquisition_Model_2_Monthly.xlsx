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1388" yWindow="-2196" windowWidth="41496" windowHeight="16776" tabRatio="500" firstSheet="0" activeTab="5" autoFilterDateGrouping="1"/>
  </bookViews>
  <sheets>
    <sheet name="READ_ME" sheetId="1" state="visible" r:id="rId1"/>
    <sheet name="GL Data" sheetId="2" state="visible" r:id="rId2"/>
    <sheet name="Monthly Financials" sheetId="3" state="visible" r:id="rId3"/>
    <sheet name="QOE Summary" sheetId="4" state="visible" r:id="rId4"/>
    <sheet name="Assumptions" sheetId="5" state="visible" r:id="rId5"/>
    <sheet name="Projections" sheetId="6" state="visible" r:id="rId6"/>
    <sheet name="Analysis" sheetId="7" state="visible" r:id="rId7"/>
  </sheets>
  <definedNames/>
  <calcPr calcId="191029" fullCalcOnLoad="1"/>
</workbook>
</file>

<file path=xl/styles.xml><?xml version="1.0" encoding="utf-8"?>
<styleSheet xmlns="http://schemas.openxmlformats.org/spreadsheetml/2006/main">
  <numFmts count="10">
    <numFmt numFmtId="164" formatCode="#,##0;\(#,##0\);\-"/>
    <numFmt numFmtId="165" formatCode="0.0%;\(0.0%\);\-"/>
    <numFmt numFmtId="166" formatCode="#,##0.0;\(#,##0.0\);\-"/>
    <numFmt numFmtId="167" formatCode="_(* #,##0_);_(* \(#,##0\);_(* \-??_);_(@_)"/>
    <numFmt numFmtId="168" formatCode="0.00\x;\(0.00&quot;x)&quot;;\-"/>
    <numFmt numFmtId="169" formatCode="0.00&quot; days&quot;"/>
    <numFmt numFmtId="170" formatCode="0.00%;\(0.00%\);\-"/>
    <numFmt numFmtId="171" formatCode="0.000"/>
    <numFmt numFmtId="172" formatCode="0.0&quot; days&quot;"/>
    <numFmt numFmtId="173" formatCode="0.0&quot; months&quot;"/>
  </numFmts>
  <fonts count="42">
    <font>
      <name val="Calibri"/>
      <charset val="1"/>
      <family val="2"/>
      <color theme="1"/>
      <sz val="11"/>
    </font>
    <font>
      <name val="Arial"/>
      <charset val="1"/>
      <family val="2"/>
      <b val="1"/>
      <color rgb="FF626262"/>
      <sz val="15"/>
    </font>
    <font>
      <name val="Arial"/>
      <charset val="1"/>
      <family val="2"/>
      <b val="1"/>
      <color rgb="FF678BA9"/>
      <sz val="10"/>
    </font>
    <font>
      <name val="Arial"/>
      <charset val="1"/>
      <family val="2"/>
      <color rgb="FF000000"/>
      <sz val="10"/>
    </font>
    <font>
      <name val="Arial"/>
      <charset val="1"/>
      <family val="2"/>
      <b val="1"/>
      <color rgb="FF626262"/>
      <sz val="13"/>
    </font>
    <font>
      <name val="Arial"/>
      <charset val="1"/>
      <family val="2"/>
      <b val="1"/>
      <color rgb="FFEC9802"/>
      <sz val="10"/>
    </font>
    <font>
      <name val="Arial"/>
      <charset val="1"/>
      <family val="2"/>
      <b val="1"/>
      <color rgb="FF626262"/>
      <sz val="14"/>
    </font>
    <font>
      <name val="Arial"/>
      <charset val="1"/>
      <family val="2"/>
      <b val="1"/>
      <color rgb="FFFFFFFF"/>
      <sz val="9"/>
    </font>
    <font>
      <name val="Arial"/>
      <charset val="1"/>
      <family val="2"/>
      <color rgb="FF000000"/>
      <sz val="9"/>
    </font>
    <font>
      <name val="Arial"/>
      <charset val="1"/>
      <family val="2"/>
      <color rgb="FF678BA9"/>
      <sz val="9"/>
    </font>
    <font>
      <name val="Arial"/>
      <charset val="1"/>
      <family val="2"/>
      <color rgb="FF2D73FF"/>
      <sz val="9"/>
    </font>
    <font>
      <name val="Arial"/>
      <charset val="1"/>
      <family val="2"/>
      <i val="1"/>
      <color rgb="FF000000"/>
      <sz val="9"/>
    </font>
    <font>
      <name val="Arial"/>
      <charset val="1"/>
      <family val="2"/>
      <b val="1"/>
      <color rgb="FF000000"/>
      <sz val="9"/>
    </font>
    <font>
      <name val="Arial"/>
      <charset val="1"/>
      <family val="2"/>
      <color rgb="FF626262"/>
      <sz val="9"/>
    </font>
    <font>
      <name val="Arial"/>
      <charset val="1"/>
      <family val="2"/>
      <b val="1"/>
      <color rgb="FFFFFFFF"/>
      <sz val="11"/>
    </font>
    <font>
      <name val="Arial"/>
      <charset val="1"/>
      <family val="2"/>
      <color rgb="FF008080"/>
      <sz val="10"/>
    </font>
    <font>
      <name val="Arial"/>
      <charset val="1"/>
      <family val="2"/>
      <b val="1"/>
      <color rgb="FF626262"/>
      <sz val="10"/>
    </font>
    <font>
      <name val="Arial"/>
      <charset val="1"/>
      <family val="2"/>
      <b val="1"/>
      <color rgb="FF000000"/>
      <sz val="10"/>
    </font>
    <font>
      <name val="Arial"/>
      <charset val="1"/>
      <family val="2"/>
      <i val="1"/>
      <color rgb="FF000000"/>
      <sz val="10"/>
    </font>
    <font>
      <name val="Arial"/>
      <charset val="1"/>
      <family val="2"/>
      <color rgb="FF2D73FF"/>
      <sz val="10"/>
    </font>
    <font>
      <name val="Arial"/>
      <charset val="1"/>
      <family val="2"/>
      <sz val="10"/>
    </font>
    <font>
      <name val="Arial"/>
      <charset val="1"/>
      <b val="1"/>
      <color rgb="FF626262"/>
      <sz val="15"/>
    </font>
    <font>
      <name val="Arial"/>
      <charset val="1"/>
      <b val="1"/>
      <color rgb="FF678BA9"/>
      <sz val="10"/>
    </font>
    <font>
      <name val="Arial"/>
      <charset val="1"/>
      <i val="1"/>
      <color rgb="FF000000"/>
      <sz val="10"/>
    </font>
    <font>
      <name val="Arial"/>
      <charset val="1"/>
      <b val="1"/>
      <color rgb="FFFFFFFF"/>
      <sz val="11"/>
    </font>
    <font>
      <name val="Arial"/>
      <charset val="1"/>
      <b val="1"/>
      <color rgb="FFFFFFFF"/>
      <sz val="9"/>
    </font>
    <font>
      <name val="Arial"/>
      <charset val="1"/>
      <color rgb="FF000000"/>
      <sz val="10"/>
    </font>
    <font>
      <name val="Arial"/>
      <charset val="1"/>
      <b val="1"/>
      <color rgb="FF626262"/>
      <sz val="10"/>
    </font>
    <font>
      <name val="Arial"/>
      <charset val="1"/>
      <b val="1"/>
      <color rgb="FF000000"/>
      <sz val="10"/>
    </font>
    <font>
      <name val="Arial"/>
      <charset val="1"/>
      <i val="1"/>
      <color rgb="FF626262"/>
      <sz val="10"/>
    </font>
    <font>
      <name val="Arial"/>
      <charset val="1"/>
      <b val="1"/>
      <color rgb="FF2D73FF"/>
      <sz val="10"/>
    </font>
    <font>
      <name val="Arial"/>
      <charset val="1"/>
      <i val="1"/>
      <color rgb="FF626262"/>
      <sz val="9"/>
    </font>
    <font>
      <name val="Arial"/>
      <charset val="1"/>
      <color rgb="FF2D73FF"/>
      <sz val="10"/>
    </font>
    <font>
      <name val="Arial"/>
      <charset val="1"/>
      <i val="1"/>
      <color rgb="FF626262"/>
      <sz val="8.5"/>
    </font>
    <font>
      <name val="Arial"/>
      <charset val="1"/>
      <b val="1"/>
      <color rgb="FF008080"/>
      <sz val="10"/>
    </font>
    <font>
      <name val="Arial"/>
      <charset val="1"/>
      <color rgb="FF008080"/>
      <sz val="10"/>
    </font>
    <font>
      <name val="Arial"/>
      <charset val="1"/>
      <color rgb="FF626262"/>
      <sz val="10"/>
    </font>
    <font>
      <name val="Arial"/>
      <charset val="1"/>
      <b val="1"/>
      <color rgb="FF000000"/>
      <sz val="9"/>
    </font>
    <font>
      <name val="Arial"/>
      <family val="2"/>
      <color rgb="FF2D73FF"/>
      <sz val="10"/>
    </font>
    <font>
      <name val="Arial"/>
      <family val="2"/>
      <b val="1"/>
      <color rgb="FF2D73FF"/>
      <sz val="10"/>
    </font>
    <font>
      <name val="Arial"/>
      <family val="2"/>
      <i val="1"/>
      <color rgb="FF626262"/>
      <sz val="8.5"/>
    </font>
    <font>
      <name val="Arial"/>
      <family val="2"/>
      <i val="1"/>
      <color rgb="FF626262"/>
      <sz val="10"/>
    </font>
  </fonts>
  <fills count="5">
    <fill>
      <patternFill/>
    </fill>
    <fill>
      <patternFill patternType="gray125"/>
    </fill>
    <fill>
      <patternFill patternType="solid">
        <fgColor rgb="FF626262"/>
        <bgColor rgb="FF678BA9"/>
      </patternFill>
    </fill>
    <fill>
      <patternFill patternType="solid">
        <fgColor rgb="FF678BA9"/>
        <bgColor rgb="FF969696"/>
      </patternFill>
    </fill>
    <fill>
      <patternFill patternType="solid">
        <fgColor rgb="FFFFFF00"/>
        <bgColor rgb="FFFFFF00"/>
      </patternFill>
    </fill>
  </fills>
  <borders count="4">
    <border>
      <left/>
      <right/>
      <top/>
      <bottom/>
      <diagonal/>
    </border>
    <border>
      <left/>
      <right/>
      <top style="thin">
        <color rgb="FF626262"/>
      </top>
      <bottom/>
      <diagonal/>
    </border>
    <border>
      <left/>
      <right/>
      <top/>
      <bottom style="double">
        <color rgb="FF626262"/>
      </bottom>
      <diagonal/>
    </border>
    <border>
      <left/>
      <right/>
      <top style="thin">
        <color rgb="FFB7B7B7"/>
      </top>
      <bottom/>
      <diagonal/>
    </border>
  </borders>
  <cellStyleXfs count="1">
    <xf numFmtId="0" fontId="0" fillId="0" borderId="0"/>
  </cellStyleXfs>
  <cellXfs count="9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horizontal="center" vertical="center" wrapText="1"/>
    </xf>
    <xf numFmtId="0" fontId="8" fillId="0" borderId="0" pivotButton="0" quotePrefix="0" xfId="0"/>
    <xf numFmtId="0" fontId="9" fillId="0" borderId="0" pivotButton="0" quotePrefix="0" xfId="0"/>
    <xf numFmtId="164" fontId="10" fillId="0" borderId="0" pivotButton="0" quotePrefix="0" xfId="0"/>
    <xf numFmtId="0" fontId="11" fillId="0" borderId="0" pivotButton="0" quotePrefix="0" xfId="0"/>
    <xf numFmtId="164" fontId="8" fillId="0" borderId="0" pivotButton="0" quotePrefix="0" xfId="0"/>
    <xf numFmtId="0" fontId="12" fillId="0" borderId="0" pivotButton="0" quotePrefix="0" xfId="0"/>
    <xf numFmtId="0" fontId="13" fillId="0" borderId="0" pivotButton="0" quotePrefix="0" xfId="0"/>
    <xf numFmtId="0" fontId="14" fillId="2" borderId="0" pivotButton="0" quotePrefix="0" xfId="0"/>
    <xf numFmtId="0" fontId="0" fillId="2" borderId="0" pivotButton="0" quotePrefix="0" xfId="0"/>
    <xf numFmtId="0" fontId="7" fillId="3" borderId="0" applyAlignment="1" pivotButton="0" quotePrefix="0" xfId="0">
      <alignment horizontal="center" wrapText="1"/>
    </xf>
    <xf numFmtId="0" fontId="7" fillId="3" borderId="0" applyAlignment="1" pivotButton="0" quotePrefix="0" xfId="0">
      <alignment horizontal="center"/>
    </xf>
    <xf numFmtId="0" fontId="3" fillId="0" borderId="0" applyAlignment="1" pivotButton="0" quotePrefix="0" xfId="0">
      <alignment indent="1"/>
    </xf>
    <xf numFmtId="164" fontId="15" fillId="0" borderId="0" pivotButton="0" quotePrefix="0" xfId="0"/>
    <xf numFmtId="0" fontId="16" fillId="0" borderId="0" pivotButton="0" quotePrefix="0" xfId="0"/>
    <xf numFmtId="164" fontId="17" fillId="0" borderId="1" pivotButton="0" quotePrefix="0" xfId="0"/>
    <xf numFmtId="164" fontId="17" fillId="0" borderId="0" pivotButton="0" quotePrefix="0" xfId="0"/>
    <xf numFmtId="0" fontId="18" fillId="0" borderId="0" applyAlignment="1" pivotButton="0" quotePrefix="0" xfId="0">
      <alignment indent="1"/>
    </xf>
    <xf numFmtId="165" fontId="3" fillId="0" borderId="0" applyAlignment="1" pivotButton="0" quotePrefix="0" xfId="0">
      <alignment horizontal="center"/>
    </xf>
    <xf numFmtId="0" fontId="2" fillId="0" borderId="0" applyAlignment="1" pivotButton="0" quotePrefix="0" xfId="0">
      <alignment indent="1"/>
    </xf>
    <xf numFmtId="0" fontId="3" fillId="0" borderId="0" applyAlignment="1" pivotButton="0" quotePrefix="0" xfId="0">
      <alignment indent="2"/>
    </xf>
    <xf numFmtId="0" fontId="16" fillId="0" borderId="0" applyAlignment="1" pivotButton="0" quotePrefix="0" xfId="0">
      <alignment indent="1"/>
    </xf>
    <xf numFmtId="164" fontId="3" fillId="0" borderId="0" pivotButton="0" quotePrefix="0" xfId="0"/>
    <xf numFmtId="164" fontId="17" fillId="0" borderId="2" pivotButton="0" quotePrefix="0" xfId="0"/>
    <xf numFmtId="0" fontId="18" fillId="0" borderId="0" pivotButton="0" quotePrefix="0" xfId="0"/>
    <xf numFmtId="164" fontId="3" fillId="0" borderId="2" pivotButton="0" quotePrefix="0" xfId="0"/>
    <xf numFmtId="165" fontId="3" fillId="0" borderId="2" applyAlignment="1" pivotButton="0" quotePrefix="0" xfId="0">
      <alignment horizontal="center"/>
    </xf>
    <xf numFmtId="165" fontId="17" fillId="0" borderId="2" applyAlignment="1" pivotButton="0" quotePrefix="0" xfId="0">
      <alignment horizontal="center"/>
    </xf>
    <xf numFmtId="0" fontId="16" fillId="0" borderId="0" applyAlignment="1" pivotButton="0" quotePrefix="0" xfId="0">
      <alignment indent="2"/>
    </xf>
    <xf numFmtId="164" fontId="19" fillId="0" borderId="0" pivotButton="0" quotePrefix="0" xfId="0"/>
    <xf numFmtId="165" fontId="19" fillId="0" borderId="0" applyAlignment="1" pivotButton="0" quotePrefix="0" xfId="0">
      <alignment horizontal="center"/>
    </xf>
    <xf numFmtId="1" fontId="19" fillId="0" borderId="0" pivotButton="0" quotePrefix="0" xfId="0"/>
    <xf numFmtId="166" fontId="17" fillId="0" borderId="0" pivotButton="0" quotePrefix="0" xfId="0"/>
    <xf numFmtId="166" fontId="3" fillId="0" borderId="2" pivotButton="0" quotePrefix="0" xfId="0"/>
    <xf numFmtId="167" fontId="20" fillId="0" borderId="0" pivotButton="0" quotePrefix="0" xfId="0"/>
    <xf numFmtId="9"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4" fillId="2" borderId="0" pivotButton="0" quotePrefix="0" xfId="0"/>
    <xf numFmtId="0" fontId="0" fillId="3" borderId="0" pivotButton="0" quotePrefix="0" xfId="0"/>
    <xf numFmtId="0" fontId="25" fillId="3" borderId="0" applyAlignment="1" pivotButton="0" quotePrefix="0" xfId="0">
      <alignment horizontal="center"/>
    </xf>
    <xf numFmtId="0" fontId="26" fillId="0" borderId="0" applyAlignment="1" pivotButton="0" quotePrefix="0" xfId="0">
      <alignment indent="1"/>
    </xf>
    <xf numFmtId="164" fontId="26" fillId="0" borderId="0" pivotButton="0" quotePrefix="0" xfId="0"/>
    <xf numFmtId="0" fontId="27" fillId="0" borderId="0" applyAlignment="1" pivotButton="0" quotePrefix="0" xfId="0">
      <alignment indent="1"/>
    </xf>
    <xf numFmtId="164" fontId="28" fillId="0" borderId="3" pivotButton="0" quotePrefix="0" xfId="0"/>
    <xf numFmtId="0" fontId="0" fillId="0" borderId="3" pivotButton="0" quotePrefix="0" xfId="0"/>
    <xf numFmtId="165" fontId="26" fillId="0" borderId="0" pivotButton="0" quotePrefix="0" xfId="0"/>
    <xf numFmtId="0" fontId="29" fillId="0" borderId="0" pivotButton="0" quotePrefix="0" xfId="0"/>
    <xf numFmtId="164" fontId="28" fillId="0" borderId="0" pivotButton="0" quotePrefix="0" xfId="0"/>
    <xf numFmtId="165" fontId="28" fillId="0" borderId="0" pivotButton="0" quotePrefix="0" xfId="0"/>
    <xf numFmtId="168" fontId="26" fillId="0" borderId="0" pivotButton="0" quotePrefix="0" xfId="0"/>
    <xf numFmtId="169" fontId="26" fillId="0" borderId="0" pivotButton="0" quotePrefix="0" xfId="0"/>
    <xf numFmtId="0" fontId="27" fillId="0" borderId="0" pivotButton="0" quotePrefix="0" xfId="0"/>
    <xf numFmtId="0" fontId="30" fillId="4" borderId="0" pivotButton="0" quotePrefix="0" xfId="0"/>
    <xf numFmtId="0" fontId="31" fillId="0" borderId="0" pivotButton="0" quotePrefix="0" xfId="0"/>
    <xf numFmtId="0" fontId="25" fillId="3" borderId="0" pivotButton="0" quotePrefix="0" xfId="0"/>
    <xf numFmtId="164" fontId="32" fillId="0" borderId="0" pivotButton="0" quotePrefix="0" xfId="0"/>
    <xf numFmtId="0" fontId="33" fillId="0" borderId="0" pivotButton="0" quotePrefix="0" xfId="0"/>
    <xf numFmtId="165" fontId="32" fillId="0" borderId="0" pivotButton="0" quotePrefix="0" xfId="0"/>
    <xf numFmtId="0" fontId="28" fillId="0" borderId="0" pivotButton="0" quotePrefix="0" xfId="0"/>
    <xf numFmtId="1" fontId="26" fillId="0" borderId="0" pivotButton="0" quotePrefix="0" xfId="0"/>
    <xf numFmtId="1" fontId="32" fillId="0" borderId="0" pivotButton="0" quotePrefix="0" xfId="0"/>
    <xf numFmtId="1" fontId="28" fillId="0" borderId="0" pivotButton="0" quotePrefix="0" xfId="0"/>
    <xf numFmtId="170" fontId="26" fillId="0" borderId="0" pivotButton="0" quotePrefix="0" xfId="0"/>
    <xf numFmtId="170" fontId="32" fillId="0" borderId="0" pivotButton="0" quotePrefix="0" xfId="0"/>
    <xf numFmtId="170" fontId="28" fillId="0" borderId="0" pivotButton="0" quotePrefix="0" xfId="0"/>
    <xf numFmtId="0" fontId="28" fillId="0" borderId="0" applyAlignment="1" pivotButton="0" quotePrefix="0" xfId="0">
      <alignment indent="1"/>
    </xf>
    <xf numFmtId="164" fontId="34" fillId="0" borderId="0" pivotButton="0" quotePrefix="0" xfId="0"/>
    <xf numFmtId="164" fontId="35" fillId="0" borderId="0" pivotButton="0" quotePrefix="0" xfId="0"/>
    <xf numFmtId="164" fontId="36" fillId="0" borderId="0" pivotButton="0" quotePrefix="0" xfId="0"/>
    <xf numFmtId="0" fontId="36" fillId="0" borderId="0" applyAlignment="1" pivotButton="0" quotePrefix="0" xfId="0">
      <alignment indent="1"/>
    </xf>
    <xf numFmtId="164" fontId="29" fillId="0" borderId="0" pivotButton="0" quotePrefix="0" xfId="0"/>
    <xf numFmtId="171" fontId="26" fillId="0" borderId="0" pivotButton="0" quotePrefix="0" xfId="0"/>
    <xf numFmtId="172" fontId="26" fillId="0" borderId="0" pivotButton="0" quotePrefix="0" xfId="0"/>
    <xf numFmtId="168" fontId="28" fillId="0" borderId="0" pivotButton="0" quotePrefix="0" xfId="0"/>
    <xf numFmtId="0" fontId="29" fillId="0" borderId="0" applyAlignment="1" pivotButton="0" quotePrefix="0" xfId="0">
      <alignment indent="1"/>
    </xf>
    <xf numFmtId="0" fontId="31" fillId="0" borderId="0" applyAlignment="1" pivotButton="0" quotePrefix="0" xfId="0">
      <alignment indent="1"/>
    </xf>
    <xf numFmtId="173" fontId="28" fillId="0" borderId="0" pivotButton="0" quotePrefix="0" xfId="0"/>
    <xf numFmtId="0" fontId="37" fillId="0" borderId="0" applyAlignment="1" pivotButton="0" quotePrefix="0" xfId="0">
      <alignment vertical="center" wrapText="1"/>
    </xf>
    <xf numFmtId="170" fontId="38" fillId="0" borderId="0" pivotButton="0" quotePrefix="0" xfId="0"/>
    <xf numFmtId="164" fontId="39" fillId="0" borderId="0" pivotButton="0" quotePrefix="0" xfId="0"/>
    <xf numFmtId="0" fontId="40" fillId="0" borderId="0" pivotButton="0" quotePrefix="0" xfId="0"/>
    <xf numFmtId="0" fontId="41"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678BA9"/>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73FF"/>
      <rgbColor rgb="FF33CCCC"/>
      <rgbColor rgb="FF99CC00"/>
      <rgbColor rgb="FFFFCC00"/>
      <rgbColor rgb="FFEC9802"/>
      <rgbColor rgb="FFFF6600"/>
      <rgbColor rgb="FF62626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Acquisition Model</author>
  </authors>
  <commentList>
    <comment ref="O6" authorId="0" shapeId="0">
      <text>
        <t>Months are an even 1/12 allocation of each annual figure (balances are straight-lined between year-ends), so every month group foots exactly to its year column and no annual result changes.</t>
      </text>
    </comment>
    <comment ref="A157" authorId="0" shapeId="0">
      <text>
        <t>Discounting is applied on an annual basis; rows 157-159 are shown in the year columns only.</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C66"/>
  <sheetViews>
    <sheetView showGridLines="0" topLeftCell="A50" zoomScaleNormal="100" workbookViewId="0">
      <selection activeCell="B64" sqref="B64"/>
    </sheetView>
  </sheetViews>
  <sheetFormatPr baseColWidth="8" defaultColWidth="8.7109375" defaultRowHeight="15"/>
  <cols>
    <col width="4" customWidth="1" min="1" max="1"/>
    <col width="34" customWidth="1" min="2" max="2"/>
    <col width="104" customWidth="1" min="3" max="3"/>
  </cols>
  <sheetData>
    <row r="2" ht="18" customHeight="1">
      <c r="B2" s="1" t="inlineStr">
        <is>
          <t>Smart VAs LLC — Monthly Financial Model</t>
        </is>
      </c>
    </row>
    <row r="4" ht="24" customHeight="1">
      <c r="B4" s="2" t="inlineStr">
        <is>
          <t>Currency</t>
        </is>
      </c>
      <c r="C4" s="3" t="inlineStr">
        <is>
          <t>USD. All amounts in whole US dollars unless a line is labelled as a percentage, a ratio or a day count.</t>
        </is>
      </c>
    </row>
    <row r="5" ht="13.5" customHeight="1">
      <c r="B5" s="2" t="inlineStr">
        <is>
          <t>Basis of accounting</t>
        </is>
      </c>
      <c r="C5" s="3" t="inlineStr">
        <is>
          <t>Accrual, per the seller general ledger and confirmed in the QOE engagement correspondence.</t>
        </is>
      </c>
    </row>
    <row r="6" ht="13.5" customHeight="1">
      <c r="B6" s="2" t="inlineStr">
        <is>
          <t>Period covered</t>
        </is>
      </c>
      <c r="C6" s="3" t="inlineStr">
        <is>
          <t>June 2024 through June 2026 (25 consecutive months).</t>
        </is>
      </c>
    </row>
    <row r="7" ht="13.5" customHeight="1">
      <c r="B7" s="2" t="inlineStr">
        <is>
          <t>Prepared for</t>
        </is>
      </c>
      <c r="C7" s="3" t="inlineStr">
        <is>
          <t>GP Partners — Quality of Earnings engagement.</t>
        </is>
      </c>
    </row>
    <row r="9" ht="15.75" customHeight="1">
      <c r="B9" s="4" t="inlineStr">
        <is>
          <t>Scope</t>
        </is>
      </c>
    </row>
    <row r="11" ht="72" customHeight="1">
      <c r="C11" s="3" t="inlineStr">
        <is>
          <t>The engagement email chain descopes the original request. The most recent instruction is to focus on the monthly financial statements only, with the trial balance rebuild, KPI set, labour-versus-revenue breakdown and the software/systems inventory deferred to a separate project. This workbook therefore contains the monthly income statement, balance sheet and statement of cash flows, together with the supporting schedules required by the finance memo, plus the month-over-month working capital schedule and the DSO section requested in the chain.</t>
        </is>
      </c>
    </row>
    <row r="13" ht="15" customHeight="1">
      <c r="B13" s="5" t="inlineStr">
        <is>
          <t>Items deliberately excluded (deferred to the separate project)</t>
        </is>
      </c>
    </row>
    <row r="14" ht="36" customHeight="1">
      <c r="C14" s="3" t="inlineStr">
        <is>
          <t>Annual trial balance rebuild; KPI/ratio set (gross profit margin against all labour, net profit margin, ROA, current ratio, cash ratio, D/E, D/A); the direct-labour-and-COGS-against-revenue tab; and the schedule defining the software, apps, programs and systems tied to the business.</t>
        </is>
      </c>
    </row>
    <row r="16" ht="15.75" customHeight="1">
      <c r="B16" s="4" t="inlineStr">
        <is>
          <t>Source data</t>
        </is>
      </c>
    </row>
    <row r="18" ht="24" customHeight="1">
      <c r="B18" s="2" t="inlineStr">
        <is>
          <t>Trial balance</t>
        </is>
      </c>
      <c r="C18" s="3" t="inlineStr">
        <is>
          <t>TB_20240531.pdf — Smart VAs LLC trial balance as of 31 May 2024. Transcribed in full; debits and credits both total 424,147.41, which agrees to the source document.</t>
        </is>
      </c>
    </row>
    <row r="19" ht="24" customHeight="1">
      <c r="B19" s="2" t="inlineStr">
        <is>
          <t>General ledger</t>
        </is>
      </c>
      <c r="C19" s="3" t="inlineStr">
        <is>
          <t>1_GeneralLedger_MoM_Combined.pdf — 925 pages, comprising 25 separate monthly ledger extracts concatenated into one file.</t>
        </is>
      </c>
    </row>
    <row r="20" ht="24" customHeight="1">
      <c r="B20" s="2" t="inlineStr">
        <is>
          <t>Rows extracted</t>
        </is>
      </c>
      <c r="C20" s="3" t="inlineStr">
        <is>
          <t>15,699 ledger lines. This figure was verified against an independent count of every record block in the PDF: 15,699 blocks, none missing a transaction date, none missing an amount.</t>
        </is>
      </c>
    </row>
    <row r="22" ht="15.75" customHeight="1">
      <c r="B22" s="4" t="inlineStr">
        <is>
          <t>How the model is wired</t>
        </is>
      </c>
    </row>
    <row r="24" ht="36" customHeight="1">
      <c r="B24" s="2" t="inlineStr">
        <is>
          <t>GL Data tab</t>
        </is>
      </c>
      <c r="C24" s="3" t="inlineStr">
        <is>
          <t>The only input tab. Column D holds the opening trial balance at 31 May 2024; columns E onward hold monthly ledger activity by account. All figures are debit-positive and credit-negative. Blue text marks a hardcoded input.</t>
        </is>
      </c>
    </row>
    <row r="25" ht="24" customHeight="1">
      <c r="B25" s="2" t="inlineStr">
        <is>
          <t>Monthly Financials tab</t>
        </is>
      </c>
      <c r="C25" s="3" t="inlineStr">
        <is>
          <t>Every figure is a formula. Teal text marks a value pulled across from the GL Data tab; black marks a calculation within the tab. Nothing on this tab is typed in.</t>
        </is>
      </c>
    </row>
    <row r="26" ht="36" customHeight="1">
      <c r="B26" s="2" t="inlineStr">
        <is>
          <t>Account mapping</t>
        </is>
      </c>
      <c r="C26" s="3" t="inlineStr">
        <is>
          <t>Each of the 76 accounts in the ledger and trial balance maps to exactly one statement line — no account is unmapped and none is counted twice. Statement lines pull their accounts by name, so adding an account to GL Data with an existing statement line flows through automatically.</t>
        </is>
      </c>
    </row>
    <row r="27" ht="24" customHeight="1">
      <c r="B27" s="2" t="inlineStr">
        <is>
          <t>Recalculation</t>
        </is>
      </c>
      <c r="C27" s="3" t="inlineStr">
        <is>
          <t>Iterative calculation is enabled, as required by the marketing memo, because the modeled line of credit interest is circular (interest feeds net income, which feeds cash, which feeds the draw).</t>
        </is>
      </c>
    </row>
    <row r="29" ht="15.75" customHeight="1">
      <c r="B29" s="4" t="inlineStr">
        <is>
          <t>Ledger sign conventions (fitted, not assumed)</t>
        </is>
      </c>
    </row>
    <row r="31" ht="48" customHeight="1">
      <c r="C31" s="3" t="inlineStr">
        <is>
          <t>The ledger export reports each line as the change in that account's own natural balance rather than as an explicit debit or credit. Three accounts do not follow the convention their trial balance position implies, and the treatment below was established by testing which reading makes the ledger balance, not by assumption:</t>
        </is>
      </c>
    </row>
    <row r="32" ht="24" customHeight="1">
      <c r="B32" s="2" t="inlineStr">
        <is>
          <t>Owner's Pay &amp; Personal Expenses</t>
        </is>
      </c>
      <c r="C32" s="3" t="inlineStr">
        <is>
          <t>Behaves as credit-natural in the ledger. Confirmed by the 1 January 2025 and 1 January 2026 year-end entries, which close this account into Retained Earnings and only balance under this reading.</t>
        </is>
      </c>
    </row>
    <row r="33" ht="24" customHeight="1">
      <c r="B33" s="2" t="inlineStr">
        <is>
          <t>Discounts and Refund</t>
        </is>
      </c>
      <c r="C33" s="3" t="inlineStr">
        <is>
          <t>Behave as credit-natural, i.e. reported as negative revenue rather than as debit-side contra-revenue.</t>
        </is>
      </c>
    </row>
    <row r="34" ht="24" customHeight="1">
      <c r="B34" s="2" t="inlineStr">
        <is>
          <t>Result</t>
        </is>
      </c>
      <c r="C34" s="3" t="inlineStr">
        <is>
          <t>Under these conventions the ledger balances to (123.60) in total across all 25 months and all 15,699 lines. Eleven individual months balance to within one dollar.</t>
        </is>
      </c>
    </row>
    <row r="36" ht="15.75" customHeight="1">
      <c r="B36" s="4" t="inlineStr">
        <is>
          <t>Accounts Receivable — derived figure</t>
        </is>
      </c>
    </row>
    <row r="38" ht="24" customHeight="1">
      <c r="C38" s="3" t="inlineStr">
        <is>
          <t>This is the one number in the model that the ledger does not directly support, and it should be read as derived rather than reported.</t>
        </is>
      </c>
    </row>
    <row r="39" ht="60" customHeight="1">
      <c r="C39" s="3" t="inlineStr">
        <is>
          <t>The ledger export omits the accounts receivable side of both customer invoices and customer payments. An invoice appears only as the revenue credit and the merchant fee debit; the matching payment appears only as the cash debit. The two net correctly when both fall in the same month — a customer billed 1,000 with a 29.30 merchant fee shows 970.70 of cash — but a receivable outstanding at a month end has no ledger line.</t>
        </is>
      </c>
    </row>
    <row r="40" ht="36" customHeight="1">
      <c r="C40" s="3" t="inlineStr">
        <is>
          <t>The residual imbalance in each month is therefore booked to accounts receivable, on the GL Data tab, as a row labelled "A/R timing plug (derived)". It is a formula, not a hardcode, so it stays consistent if the underlying data changes.</t>
        </is>
      </c>
    </row>
    <row r="41" ht="24" customHeight="1">
      <c r="B41" s="2" t="inlineStr">
        <is>
          <t>Size of the adjustment</t>
        </is>
      </c>
      <c r="C41" s="3" t="inlineStr">
        <is>
          <t>Small and self-correcting. Receivables open at 533 per the trial balance and close at 656 in June 2026, moving within a band of roughly plus or minus a few thousand dollars.</t>
        </is>
      </c>
    </row>
    <row r="42" ht="36" customHeight="1">
      <c r="B42" s="2" t="inlineStr">
        <is>
          <t>Known exception</t>
        </is>
      </c>
      <c r="C42" s="3" t="inlineStr">
        <is>
          <t>November and December 2025 show a negative derived receivable of (6,579) and (2,769). This is a timing artefact of the missing ledger lines, not a customer credit balance. A ledger export that includes the A/R distribution lines would resolve it.</t>
        </is>
      </c>
    </row>
    <row r="44" ht="15.75" customHeight="1">
      <c r="B44" s="4" t="inlineStr">
        <is>
          <t>Judgements and presentation choices</t>
        </is>
      </c>
    </row>
    <row r="46" ht="48" customHeight="1">
      <c r="B46" s="2" t="inlineStr">
        <is>
          <t>Merchant fees</t>
        </is>
      </c>
      <c r="C46" s="3" t="inlineStr">
        <is>
          <t>Credit card fees are presented within operating expenses under "Fees and Charges" rather than as a cost of revenue. They run at roughly 2 to 3 per cent of revenue and are invoice-linked, so a reviewer may prefer them above the gross profit line. Reclassifying them would reduce gross margin and leave net income unchanged.</t>
        </is>
      </c>
    </row>
    <row r="47" ht="24" customHeight="1">
      <c r="B47" s="2" t="inlineStr">
        <is>
          <t>Credit cards in cash flow</t>
        </is>
      </c>
      <c r="C47" s="3" t="inlineStr">
        <is>
          <t>Credit card balances are treated as operating rather than financing, on the basis that the cards are used to settle operating expenses rather than as a funding source.</t>
        </is>
      </c>
    </row>
    <row r="48" ht="36" customHeight="1">
      <c r="B48" s="2" t="inlineStr">
        <is>
          <t>Intercompany balances</t>
        </is>
      </c>
      <c r="C48" s="3" t="inlineStr">
        <is>
          <t>The "Meet 5-star VAs" sub-accounts and "Intercompany - Meet 5-Star Pros" are carried as current assets (amounts due from affiliates), consistent with their position in the trial balance. These are related-party balances and warrant separate diligence.</t>
        </is>
      </c>
    </row>
    <row r="49" ht="24" customHeight="1">
      <c r="B49" s="2" t="inlineStr">
        <is>
          <t>Income taxes</t>
        </is>
      </c>
      <c r="C49" s="3" t="inlineStr">
        <is>
          <t>No entity-level income tax expense is recorded in the ledger, consistent with a pass-through LLC. The tax schedule shows payroll tax and taxes and licences only.</t>
        </is>
      </c>
    </row>
    <row r="50" ht="24" customHeight="1">
      <c r="B50" s="2" t="inlineStr">
        <is>
          <t>Depreciation</t>
        </is>
      </c>
      <c r="C50" s="3" t="inlineStr">
        <is>
          <t>Accumulated depreciation shows no movement across the 25 months. Fixed assets are carried at the trial balance amount throughout and no depreciation expense is recorded in the period.</t>
        </is>
      </c>
    </row>
    <row r="52" ht="15.75" customHeight="1">
      <c r="B52" s="4" t="inlineStr">
        <is>
          <t>Line of credit mechanic</t>
        </is>
      </c>
    </row>
    <row r="54" ht="24" customHeight="1">
      <c r="C54" s="3" t="inlineStr">
        <is>
          <t>The finance memo requires that a negative ending cash balance trigger a line of credit draw and the corresponding interest expense. The mechanic is built and live in the model.</t>
        </is>
      </c>
    </row>
    <row r="55" ht="24" customHeight="1">
      <c r="B55" s="2" t="inlineStr">
        <is>
          <t>Status in this period</t>
        </is>
      </c>
      <c r="C55" s="3" t="inlineStr">
        <is>
          <t>It does not trigger. Cash is positive in every month, rising from 23,371 at June 2024 to 87,174 at June 2026. The modeled draw is therefore nil throughout and the interest expense it produces is nil.</t>
        </is>
      </c>
    </row>
    <row r="56" ht="24" customHeight="1">
      <c r="B56" s="2" t="inlineStr">
        <is>
          <t>Assumptions</t>
        </is>
      </c>
      <c r="C56" s="3" t="inlineStr">
        <is>
          <t>Minimum cash balance and the annual interest rate are blue input cells in Schedule 5. They are modelling assumptions, not figures taken from the ledger.</t>
        </is>
      </c>
    </row>
    <row r="58" ht="15.75" customHeight="1">
      <c r="B58" s="4" t="inlineStr">
        <is>
          <t>Checks built into the model</t>
        </is>
      </c>
    </row>
    <row r="60" ht="24" customHeight="1">
      <c r="B60" s="2" t="inlineStr">
        <is>
          <t>Balance sheet</t>
        </is>
      </c>
      <c r="C60" s="3" t="inlineStr">
        <is>
          <t>Row "Check: Total Assets less Total Liabilities &amp; Equity" returns nil in the opening column and in every one of the 25 months.</t>
        </is>
      </c>
    </row>
    <row r="61" ht="24" customHeight="1">
      <c r="B61" s="2" t="inlineStr">
        <is>
          <t>Cash flow</t>
        </is>
      </c>
      <c r="C61" s="3" t="inlineStr">
        <is>
          <t>Row "Check: Ending Cash less Cash per Balance Sheet" returns nil in every month, so the cash flow statement reconciles to the balance sheet rather than being presented alongside it.</t>
        </is>
      </c>
    </row>
    <row r="62" ht="24" customHeight="1">
      <c r="B62" s="2" t="inlineStr">
        <is>
          <t>Trial balance</t>
        </is>
      </c>
      <c r="C62" s="3" t="inlineStr">
        <is>
          <t>The opening column of the balance sheet is built from the 31 May 2024 trial balance, which self-balances at 424,147.41.</t>
        </is>
      </c>
    </row>
    <row r="64" ht="15.75" customHeight="1">
      <c r="B64" s="4" t="n"/>
    </row>
    <row r="66" ht="48" customHeight="1">
      <c r="C66" s="3"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C84"/>
  <sheetViews>
    <sheetView showGridLines="0" zoomScaleNormal="100" workbookViewId="0">
      <pane xSplit="4" ySplit="5" topLeftCell="E6" activePane="bottomRight" state="frozen"/>
      <selection pane="topRight" activeCell="E1" sqref="E1"/>
      <selection pane="bottomLeft" activeCell="A6" sqref="A6"/>
      <selection pane="bottomRight" activeCell="A39" sqref="A39"/>
    </sheetView>
  </sheetViews>
  <sheetFormatPr baseColWidth="8" defaultColWidth="8.7109375" defaultRowHeight="15"/>
  <cols>
    <col width="58" customWidth="1" min="1" max="1"/>
    <col width="30" customWidth="1" min="2" max="2"/>
    <col width="7" customWidth="1" min="3" max="3"/>
    <col width="12" customWidth="1" min="4" max="29"/>
  </cols>
  <sheetData>
    <row r="1" ht="17.25" customHeight="1">
      <c r="A1" s="6" t="inlineStr">
        <is>
          <t>Smart VAs LLC</t>
        </is>
      </c>
    </row>
    <row r="2" ht="15" customHeight="1">
      <c r="A2" s="2" t="inlineStr">
        <is>
          <t>General Ledger — Monthly Activity by Account (debit-positive / credit-negative)</t>
        </is>
      </c>
    </row>
    <row r="3" ht="15" customHeight="1">
      <c r="A3" s="5" t="inlineStr">
        <is>
          <t>Currency: USD</t>
        </is>
      </c>
    </row>
    <row r="5" ht="21.75" customHeight="1">
      <c r="A5" s="7" t="inlineStr">
        <is>
          <t>GL / TB Account</t>
        </is>
      </c>
      <c r="B5" s="7" t="inlineStr">
        <is>
          <t>Statement Line</t>
        </is>
      </c>
      <c r="C5" s="7" t="inlineStr">
        <is>
          <t>Class</t>
        </is>
      </c>
      <c r="D5" s="7" t="inlineStr">
        <is>
          <t>Opening TB 5/31/2024</t>
        </is>
      </c>
      <c r="E5" s="7" t="inlineStr">
        <is>
          <t>Jun-24</t>
        </is>
      </c>
      <c r="F5" s="7" t="inlineStr">
        <is>
          <t>Jul-24</t>
        </is>
      </c>
      <c r="G5" s="7" t="inlineStr">
        <is>
          <t>Aug-24</t>
        </is>
      </c>
      <c r="H5" s="7" t="inlineStr">
        <is>
          <t>Sep-24</t>
        </is>
      </c>
      <c r="I5" s="7" t="inlineStr">
        <is>
          <t>Oct-24</t>
        </is>
      </c>
      <c r="J5" s="7" t="inlineStr">
        <is>
          <t>Nov-24</t>
        </is>
      </c>
      <c r="K5" s="7" t="inlineStr">
        <is>
          <t>Dec-24</t>
        </is>
      </c>
      <c r="L5" s="7" t="inlineStr">
        <is>
          <t>Jan-25</t>
        </is>
      </c>
      <c r="M5" s="7" t="inlineStr">
        <is>
          <t>Feb-25</t>
        </is>
      </c>
      <c r="N5" s="7" t="inlineStr">
        <is>
          <t>Mar-25</t>
        </is>
      </c>
      <c r="O5" s="7" t="inlineStr">
        <is>
          <t>Apr-25</t>
        </is>
      </c>
      <c r="P5" s="7" t="inlineStr">
        <is>
          <t>May-25</t>
        </is>
      </c>
      <c r="Q5" s="7" t="inlineStr">
        <is>
          <t>Jun-25</t>
        </is>
      </c>
      <c r="R5" s="7" t="inlineStr">
        <is>
          <t>Jul-25</t>
        </is>
      </c>
      <c r="S5" s="7" t="inlineStr">
        <is>
          <t>Aug-25</t>
        </is>
      </c>
      <c r="T5" s="7" t="inlineStr">
        <is>
          <t>Sep-25</t>
        </is>
      </c>
      <c r="U5" s="7" t="inlineStr">
        <is>
          <t>Oct-25</t>
        </is>
      </c>
      <c r="V5" s="7" t="inlineStr">
        <is>
          <t>Nov-25</t>
        </is>
      </c>
      <c r="W5" s="7" t="inlineStr">
        <is>
          <t>Dec-25</t>
        </is>
      </c>
      <c r="X5" s="7" t="inlineStr">
        <is>
          <t>Jan-26</t>
        </is>
      </c>
      <c r="Y5" s="7" t="inlineStr">
        <is>
          <t>Feb-26</t>
        </is>
      </c>
      <c r="Z5" s="7" t="inlineStr">
        <is>
          <t>Mar-26</t>
        </is>
      </c>
      <c r="AA5" s="7" t="inlineStr">
        <is>
          <t>Apr-26</t>
        </is>
      </c>
      <c r="AB5" s="7" t="inlineStr">
        <is>
          <t>May-26</t>
        </is>
      </c>
      <c r="AC5" s="7" t="inlineStr">
        <is>
          <t>Jun-26</t>
        </is>
      </c>
    </row>
    <row r="6" ht="15" customHeight="1">
      <c r="A6" s="8" t="inlineStr">
        <is>
          <t>AMEX Credit Card</t>
        </is>
      </c>
      <c r="B6" s="9" t="inlineStr">
        <is>
          <t>AMEX Credit Card</t>
        </is>
      </c>
      <c r="C6" s="9" t="inlineStr">
        <is>
          <t>L</t>
        </is>
      </c>
      <c r="D6" s="10" t="n">
        <v>-1252.3</v>
      </c>
      <c r="E6" s="10" t="n">
        <v>-140.91</v>
      </c>
      <c r="F6" s="10" t="n">
        <v>-576.74</v>
      </c>
      <c r="G6" s="10" t="n">
        <v>-44.8</v>
      </c>
      <c r="H6" s="10" t="n">
        <v>316.99</v>
      </c>
      <c r="I6" s="10" t="n">
        <v>439.82</v>
      </c>
      <c r="J6" s="10" t="n">
        <v>-562.91</v>
      </c>
      <c r="K6" s="10" t="n">
        <v>-549.4299999999999</v>
      </c>
      <c r="L6" s="10" t="n">
        <v>576.2</v>
      </c>
      <c r="M6" s="10" t="n">
        <v>359.96</v>
      </c>
      <c r="N6" s="10" t="n">
        <v>193.95</v>
      </c>
      <c r="O6" s="10" t="n">
        <v>167.91</v>
      </c>
      <c r="P6" s="10" t="n">
        <v>50.42</v>
      </c>
      <c r="Q6" s="10" t="n">
        <v>-1037.24</v>
      </c>
      <c r="R6" s="10" t="n">
        <v>853.4</v>
      </c>
      <c r="S6" s="10" t="n">
        <v>229.53</v>
      </c>
      <c r="T6" s="10" t="n">
        <v>-2140.47</v>
      </c>
      <c r="U6" s="10" t="n">
        <v>-1224.05</v>
      </c>
      <c r="V6" s="10" t="n">
        <v>2444.01</v>
      </c>
      <c r="W6" s="10" t="n">
        <v>410.33</v>
      </c>
      <c r="X6" s="10" t="n">
        <v>-2494.02</v>
      </c>
      <c r="Y6" s="10" t="n">
        <v>-1279.24</v>
      </c>
      <c r="Z6" s="10" t="n">
        <v>4556.23</v>
      </c>
      <c r="AA6" s="10" t="n">
        <v>-374.82</v>
      </c>
      <c r="AB6" s="10" t="n">
        <v>-9.449999999999999</v>
      </c>
      <c r="AC6" s="10" t="n">
        <v>-44.7</v>
      </c>
    </row>
    <row r="7" ht="15" customHeight="1">
      <c r="A7" s="8" t="inlineStr">
        <is>
          <t>Accounts Receivable</t>
        </is>
      </c>
      <c r="B7" s="9" t="inlineStr">
        <is>
          <t>Accounts Receivable</t>
        </is>
      </c>
      <c r="C7" s="9" t="inlineStr">
        <is>
          <t>A</t>
        </is>
      </c>
      <c r="D7" s="10" t="n">
        <v>532.65</v>
      </c>
      <c r="E7" s="10" t="n">
        <v>0</v>
      </c>
      <c r="F7" s="10" t="n">
        <v>0</v>
      </c>
      <c r="G7" s="10" t="n">
        <v>0</v>
      </c>
      <c r="H7" s="10" t="n">
        <v>0</v>
      </c>
      <c r="I7" s="10" t="n">
        <v>0</v>
      </c>
      <c r="J7" s="10" t="n">
        <v>0</v>
      </c>
      <c r="K7" s="10" t="n">
        <v>0</v>
      </c>
      <c r="L7" s="10" t="n">
        <v>0</v>
      </c>
      <c r="M7" s="10" t="n">
        <v>0</v>
      </c>
      <c r="N7" s="10" t="n">
        <v>16.99</v>
      </c>
      <c r="O7" s="10" t="n">
        <v>-16.99</v>
      </c>
      <c r="P7" s="10" t="n">
        <v>0</v>
      </c>
      <c r="Q7" s="10" t="n">
        <v>0</v>
      </c>
      <c r="R7" s="10" t="n">
        <v>0</v>
      </c>
      <c r="S7" s="10" t="n">
        <v>284.4</v>
      </c>
      <c r="T7" s="10" t="n">
        <v>-284.4</v>
      </c>
      <c r="U7" s="10" t="n">
        <v>0</v>
      </c>
      <c r="V7" s="10" t="n">
        <v>0</v>
      </c>
      <c r="W7" s="10" t="n">
        <v>0</v>
      </c>
      <c r="X7" s="10" t="n">
        <v>0</v>
      </c>
      <c r="Y7" s="10" t="n">
        <v>0</v>
      </c>
      <c r="Z7" s="10" t="n">
        <v>0</v>
      </c>
      <c r="AA7" s="10" t="n">
        <v>0</v>
      </c>
      <c r="AB7" s="10" t="n">
        <v>0</v>
      </c>
      <c r="AC7" s="10" t="n">
        <v>0</v>
      </c>
    </row>
    <row r="8" ht="15" customHeight="1">
      <c r="A8" s="8" t="inlineStr">
        <is>
          <t>Accrued Retirement</t>
        </is>
      </c>
      <c r="B8" s="9" t="inlineStr">
        <is>
          <t>Accrued Retirement</t>
        </is>
      </c>
      <c r="C8" s="9" t="inlineStr">
        <is>
          <t>L</t>
        </is>
      </c>
      <c r="D8" s="10" t="n">
        <v>-1289.88</v>
      </c>
      <c r="E8" s="10" t="n">
        <v>859.92</v>
      </c>
      <c r="F8" s="10" t="n">
        <v>45</v>
      </c>
      <c r="G8" s="10" t="n">
        <v>45</v>
      </c>
      <c r="H8" s="10" t="n">
        <v>0</v>
      </c>
      <c r="I8" s="10" t="n">
        <v>339.96</v>
      </c>
      <c r="J8" s="10" t="n">
        <v>-339.96</v>
      </c>
      <c r="K8" s="10" t="n">
        <v>-339.96</v>
      </c>
      <c r="L8" s="10" t="n">
        <v>-339.96</v>
      </c>
      <c r="M8" s="10" t="n">
        <v>-339.96</v>
      </c>
      <c r="N8" s="10" t="n">
        <v>-339.96</v>
      </c>
      <c r="O8" s="10" t="n">
        <v>-339.96</v>
      </c>
      <c r="P8" s="10" t="n">
        <v>-339.96</v>
      </c>
      <c r="Q8" s="10" t="n">
        <v>2379.72</v>
      </c>
      <c r="R8" s="10" t="n">
        <v>0</v>
      </c>
      <c r="S8" s="10" t="n">
        <v>0</v>
      </c>
      <c r="T8" s="10" t="n">
        <v>-339.96</v>
      </c>
      <c r="U8" s="10" t="n">
        <v>339.96</v>
      </c>
      <c r="V8" s="10" t="n">
        <v>0</v>
      </c>
      <c r="W8" s="10" t="n">
        <v>0</v>
      </c>
      <c r="X8" s="10" t="n">
        <v>0</v>
      </c>
      <c r="Y8" s="10" t="n">
        <v>0</v>
      </c>
      <c r="Z8" s="10" t="n">
        <v>0</v>
      </c>
      <c r="AA8" s="10" t="n">
        <v>0</v>
      </c>
      <c r="AB8" s="10" t="n">
        <v>0</v>
      </c>
      <c r="AC8" s="10" t="n">
        <v>0</v>
      </c>
    </row>
    <row r="9" ht="15" customHeight="1">
      <c r="A9" s="8" t="inlineStr">
        <is>
          <t>Accum Depreciation</t>
        </is>
      </c>
      <c r="B9" s="9" t="inlineStr">
        <is>
          <t>Accumulated Depreciation</t>
        </is>
      </c>
      <c r="C9" s="9" t="inlineStr">
        <is>
          <t>XA</t>
        </is>
      </c>
      <c r="D9" s="10" t="n">
        <v>-12754.39</v>
      </c>
      <c r="E9" s="10" t="n">
        <v>0</v>
      </c>
      <c r="F9" s="10" t="n">
        <v>0</v>
      </c>
      <c r="G9" s="10" t="n">
        <v>0</v>
      </c>
      <c r="H9" s="10" t="n">
        <v>0</v>
      </c>
      <c r="I9" s="10" t="n">
        <v>0</v>
      </c>
      <c r="J9" s="10" t="n">
        <v>0</v>
      </c>
      <c r="K9" s="10" t="n">
        <v>0</v>
      </c>
      <c r="L9" s="10" t="n">
        <v>0</v>
      </c>
      <c r="M9" s="10" t="n">
        <v>0</v>
      </c>
      <c r="N9" s="10" t="n">
        <v>0</v>
      </c>
      <c r="O9" s="10" t="n">
        <v>0</v>
      </c>
      <c r="P9" s="10" t="n">
        <v>0</v>
      </c>
      <c r="Q9" s="10" t="n">
        <v>0</v>
      </c>
      <c r="R9" s="10" t="n">
        <v>0</v>
      </c>
      <c r="S9" s="10" t="n">
        <v>0</v>
      </c>
      <c r="T9" s="10" t="n">
        <v>0</v>
      </c>
      <c r="U9" s="10" t="n">
        <v>0</v>
      </c>
      <c r="V9" s="10" t="n">
        <v>0</v>
      </c>
      <c r="W9" s="10" t="n">
        <v>0</v>
      </c>
      <c r="X9" s="10" t="n">
        <v>0</v>
      </c>
      <c r="Y9" s="10" t="n">
        <v>0</v>
      </c>
      <c r="Z9" s="10" t="n">
        <v>0</v>
      </c>
      <c r="AA9" s="10" t="n">
        <v>0</v>
      </c>
      <c r="AB9" s="10" t="n">
        <v>0</v>
      </c>
      <c r="AC9" s="10" t="n">
        <v>0</v>
      </c>
    </row>
    <row r="10" ht="15" customHeight="1">
      <c r="A10" s="8" t="inlineStr">
        <is>
          <t>Advances subject to Liquidation</t>
        </is>
      </c>
      <c r="B10" s="9" t="inlineStr">
        <is>
          <t>Advances subject to Liquidation</t>
        </is>
      </c>
      <c r="C10" s="9" t="inlineStr">
        <is>
          <t>A</t>
        </is>
      </c>
      <c r="D10" s="10" t="n">
        <v>302.46</v>
      </c>
      <c r="E10" s="10" t="n">
        <v>44.55</v>
      </c>
      <c r="F10" s="10" t="n">
        <v>98.09999999999999</v>
      </c>
      <c r="G10" s="10" t="n">
        <v>26.14</v>
      </c>
      <c r="H10" s="10" t="n">
        <v>-223.76</v>
      </c>
      <c r="I10" s="10" t="n">
        <v>-16.16</v>
      </c>
      <c r="J10" s="10" t="n">
        <v>38.46</v>
      </c>
      <c r="K10" s="10" t="n">
        <v>333.97</v>
      </c>
      <c r="L10" s="10" t="n">
        <v>-266.85</v>
      </c>
      <c r="M10" s="10" t="n">
        <v>-176.12</v>
      </c>
      <c r="N10" s="10" t="n">
        <v>-265.74</v>
      </c>
      <c r="O10" s="10" t="n">
        <v>245.61</v>
      </c>
      <c r="P10" s="10" t="n">
        <v>-22.84</v>
      </c>
      <c r="Q10" s="10" t="n">
        <v>0</v>
      </c>
      <c r="R10" s="10" t="n">
        <v>0</v>
      </c>
      <c r="S10" s="10" t="n">
        <v>-76.61</v>
      </c>
      <c r="T10" s="10" t="n">
        <v>-41.21</v>
      </c>
      <c r="U10" s="10" t="n">
        <v>0</v>
      </c>
      <c r="V10" s="10" t="n">
        <v>0</v>
      </c>
      <c r="W10" s="10" t="n">
        <v>0</v>
      </c>
      <c r="X10" s="10" t="n">
        <v>0</v>
      </c>
      <c r="Y10" s="10" t="n">
        <v>0</v>
      </c>
      <c r="Z10" s="10" t="n">
        <v>0</v>
      </c>
      <c r="AA10" s="10" t="n">
        <v>0</v>
      </c>
      <c r="AB10" s="10" t="n">
        <v>0</v>
      </c>
      <c r="AC10" s="10" t="n">
        <v>0</v>
      </c>
    </row>
    <row r="11" ht="15" customHeight="1">
      <c r="A11" s="8" t="inlineStr">
        <is>
          <t>Advances to Contractors</t>
        </is>
      </c>
      <c r="B11" s="9" t="inlineStr">
        <is>
          <t>Advances to Contractors</t>
        </is>
      </c>
      <c r="C11" s="9" t="inlineStr">
        <is>
          <t>A</t>
        </is>
      </c>
      <c r="D11" s="10" t="n">
        <v>414.91</v>
      </c>
      <c r="E11" s="10" t="n">
        <v>-223.5</v>
      </c>
      <c r="F11" s="10" t="n">
        <v>680.46</v>
      </c>
      <c r="G11" s="10" t="n">
        <v>-89.25</v>
      </c>
      <c r="H11" s="10" t="n">
        <v>840.65</v>
      </c>
      <c r="I11" s="10" t="n">
        <v>-515.86</v>
      </c>
      <c r="J11" s="10" t="n">
        <v>818.26</v>
      </c>
      <c r="K11" s="10" t="n">
        <v>-442.03</v>
      </c>
      <c r="L11" s="10" t="n">
        <v>-200.99</v>
      </c>
      <c r="M11" s="10" t="n">
        <v>-177.67</v>
      </c>
      <c r="N11" s="10" t="n">
        <v>0.55</v>
      </c>
      <c r="O11" s="10" t="n">
        <v>115.28</v>
      </c>
      <c r="P11" s="10" t="n">
        <v>117.99</v>
      </c>
      <c r="Q11" s="10" t="n">
        <v>-233.02</v>
      </c>
      <c r="R11" s="10" t="n">
        <v>194.68</v>
      </c>
      <c r="S11" s="10" t="n">
        <v>490.52</v>
      </c>
      <c r="T11" s="10" t="n">
        <v>-405.44</v>
      </c>
      <c r="U11" s="10" t="n">
        <v>-164.17</v>
      </c>
      <c r="V11" s="10" t="n">
        <v>201.48</v>
      </c>
      <c r="W11" s="10" t="n">
        <v>42.3</v>
      </c>
      <c r="X11" s="10" t="n">
        <v>-65.59999999999999</v>
      </c>
      <c r="Y11" s="10" t="n">
        <v>-725.36</v>
      </c>
      <c r="Z11" s="10" t="n">
        <v>-296.43</v>
      </c>
      <c r="AA11" s="10" t="n">
        <v>-189.39</v>
      </c>
      <c r="AB11" s="10" t="n">
        <v>-82.72</v>
      </c>
      <c r="AC11" s="10" t="n">
        <v>-105.65</v>
      </c>
    </row>
    <row r="12" ht="15" customHeight="1">
      <c r="A12" s="8" t="inlineStr">
        <is>
          <t>Amex Delta Credit Card</t>
        </is>
      </c>
      <c r="B12" s="9" t="inlineStr">
        <is>
          <t>Amex Delta Credit Card</t>
        </is>
      </c>
      <c r="C12" s="9" t="inlineStr">
        <is>
          <t>L</t>
        </is>
      </c>
      <c r="D12" s="10" t="n">
        <v>-14166</v>
      </c>
      <c r="E12" s="10" t="n">
        <v>-2433.24</v>
      </c>
      <c r="F12" s="10" t="n">
        <v>5490.63</v>
      </c>
      <c r="G12" s="10" t="n">
        <v>2062.26</v>
      </c>
      <c r="H12" s="10" t="n">
        <v>2036.7</v>
      </c>
      <c r="I12" s="10" t="n">
        <v>-226.17</v>
      </c>
      <c r="J12" s="10" t="n">
        <v>-58.21</v>
      </c>
      <c r="K12" s="10" t="n">
        <v>-177.44</v>
      </c>
      <c r="L12" s="10" t="n">
        <v>-2532.27</v>
      </c>
      <c r="M12" s="10" t="n">
        <v>102.24</v>
      </c>
      <c r="N12" s="10" t="n">
        <v>-2014.36</v>
      </c>
      <c r="O12" s="10" t="n">
        <v>79.67</v>
      </c>
      <c r="P12" s="10" t="n">
        <v>10.31</v>
      </c>
      <c r="Q12" s="10" t="n">
        <v>2752.99</v>
      </c>
      <c r="R12" s="10" t="n">
        <v>290.81</v>
      </c>
      <c r="S12" s="10" t="n">
        <v>4062.32</v>
      </c>
      <c r="T12" s="10" t="n">
        <v>3088.99</v>
      </c>
      <c r="U12" s="10" t="n">
        <v>215.98</v>
      </c>
      <c r="V12" s="10" t="n">
        <v>168.65</v>
      </c>
      <c r="W12" s="10" t="n">
        <v>-635.98</v>
      </c>
      <c r="X12" s="10" t="n">
        <v>-2371.96</v>
      </c>
      <c r="Y12" s="10" t="n">
        <v>2940.77</v>
      </c>
      <c r="Z12" s="10" t="n">
        <v>98.78</v>
      </c>
      <c r="AA12" s="10" t="n">
        <v>-62.08</v>
      </c>
      <c r="AB12" s="10" t="n">
        <v>143.75</v>
      </c>
      <c r="AC12" s="10" t="n">
        <v>-929.51</v>
      </c>
    </row>
    <row r="13" ht="15" customHeight="1">
      <c r="A13" s="8" t="inlineStr">
        <is>
          <t>Charitable Contributions</t>
        </is>
      </c>
      <c r="B13" s="9" t="inlineStr">
        <is>
          <t>Charitable Contributions</t>
        </is>
      </c>
      <c r="C13" s="9" t="inlineStr">
        <is>
          <t>E</t>
        </is>
      </c>
      <c r="D13" s="10" t="n">
        <v>0</v>
      </c>
      <c r="E13" s="10" t="n">
        <v>0</v>
      </c>
      <c r="F13" s="10" t="n">
        <v>0</v>
      </c>
      <c r="G13" s="10" t="n">
        <v>0</v>
      </c>
      <c r="H13" s="10" t="n">
        <v>0</v>
      </c>
      <c r="I13" s="10" t="n">
        <v>0</v>
      </c>
      <c r="J13" s="10" t="n">
        <v>0</v>
      </c>
      <c r="K13" s="10" t="n">
        <v>0</v>
      </c>
      <c r="L13" s="10" t="n">
        <v>0</v>
      </c>
      <c r="M13" s="10" t="n">
        <v>0</v>
      </c>
      <c r="N13" s="10" t="n">
        <v>0</v>
      </c>
      <c r="O13" s="10" t="n">
        <v>0</v>
      </c>
      <c r="P13" s="10" t="n">
        <v>0</v>
      </c>
      <c r="Q13" s="10" t="n">
        <v>0</v>
      </c>
      <c r="R13" s="10" t="n">
        <v>0</v>
      </c>
      <c r="S13" s="10" t="n">
        <v>0</v>
      </c>
      <c r="T13" s="10" t="n">
        <v>0</v>
      </c>
      <c r="U13" s="10" t="n">
        <v>100</v>
      </c>
      <c r="V13" s="10" t="n">
        <v>0</v>
      </c>
      <c r="W13" s="10" t="n">
        <v>200</v>
      </c>
      <c r="X13" s="10" t="n">
        <v>100</v>
      </c>
      <c r="Y13" s="10" t="n">
        <v>100</v>
      </c>
      <c r="Z13" s="10" t="n">
        <v>100</v>
      </c>
      <c r="AA13" s="10" t="n">
        <v>100</v>
      </c>
      <c r="AB13" s="10" t="n">
        <v>100</v>
      </c>
      <c r="AC13" s="10" t="n">
        <v>100</v>
      </c>
    </row>
    <row r="14" ht="15" customHeight="1">
      <c r="A14" s="8" t="inlineStr">
        <is>
          <t>Chase Credit Card 4 (1892)</t>
        </is>
      </c>
      <c r="B14" s="9" t="inlineStr">
        <is>
          <t>Chase Credit Card 4 (1892)</t>
        </is>
      </c>
      <c r="C14" s="9" t="inlineStr">
        <is>
          <t>L</t>
        </is>
      </c>
      <c r="D14" s="10" t="n">
        <v>-1889.3</v>
      </c>
      <c r="E14" s="10" t="n">
        <v>453.73</v>
      </c>
      <c r="F14" s="10" t="n">
        <v>-75.17</v>
      </c>
      <c r="G14" s="10" t="n">
        <v>-444.22</v>
      </c>
      <c r="H14" s="10" t="n">
        <v>-487.91</v>
      </c>
      <c r="I14" s="10" t="n">
        <v>-3093.67</v>
      </c>
      <c r="J14" s="10" t="n">
        <v>2133.37</v>
      </c>
      <c r="K14" s="10" t="n">
        <v>-2431.52</v>
      </c>
      <c r="L14" s="10" t="n">
        <v>-2362.43</v>
      </c>
      <c r="M14" s="10" t="n">
        <v>-413.58</v>
      </c>
      <c r="N14" s="10" t="n">
        <v>31.53</v>
      </c>
      <c r="O14" s="10" t="n">
        <v>1733.81</v>
      </c>
      <c r="P14" s="10" t="n">
        <v>-722.67</v>
      </c>
      <c r="Q14" s="10" t="n">
        <v>486.36</v>
      </c>
      <c r="R14" s="10" t="n">
        <v>1527.01</v>
      </c>
      <c r="S14" s="10" t="n">
        <v>4752.36</v>
      </c>
      <c r="T14" s="10" t="n">
        <v>-649.46</v>
      </c>
      <c r="U14" s="10" t="n">
        <v>-604.13</v>
      </c>
      <c r="V14" s="10" t="n">
        <v>1209.32</v>
      </c>
      <c r="W14" s="10" t="n">
        <v>-963.8099999999999</v>
      </c>
      <c r="X14" s="10" t="n">
        <v>928.67</v>
      </c>
      <c r="Y14" s="10" t="n">
        <v>-168.14</v>
      </c>
      <c r="Z14" s="10" t="n">
        <v>108.73</v>
      </c>
      <c r="AA14" s="10" t="n">
        <v>-529.6900000000001</v>
      </c>
      <c r="AB14" s="10" t="n">
        <v>380.18</v>
      </c>
      <c r="AC14" s="10" t="n">
        <v>-649.5</v>
      </c>
    </row>
    <row r="15" ht="15" customHeight="1">
      <c r="A15" s="8" t="inlineStr">
        <is>
          <t>Christmas Expenses Fund</t>
        </is>
      </c>
      <c r="B15" s="9" t="inlineStr">
        <is>
          <t>Christmas Expenses Fund</t>
        </is>
      </c>
      <c r="C15" s="9" t="inlineStr">
        <is>
          <t>L</t>
        </is>
      </c>
      <c r="D15" s="10" t="n">
        <v>0</v>
      </c>
      <c r="E15" s="10" t="n">
        <v>0</v>
      </c>
      <c r="F15" s="10" t="n">
        <v>0</v>
      </c>
      <c r="G15" s="10" t="n">
        <v>-357.73</v>
      </c>
      <c r="H15" s="10" t="n">
        <v>-450.57</v>
      </c>
      <c r="I15" s="10" t="n">
        <v>-433.84</v>
      </c>
      <c r="J15" s="10" t="n">
        <v>-427.7</v>
      </c>
      <c r="K15" s="10" t="n">
        <v>1669.84</v>
      </c>
      <c r="L15" s="10" t="n">
        <v>0</v>
      </c>
      <c r="M15" s="10" t="n">
        <v>0</v>
      </c>
      <c r="N15" s="10" t="n">
        <v>0</v>
      </c>
      <c r="O15" s="10" t="n">
        <v>0</v>
      </c>
      <c r="P15" s="10" t="n">
        <v>0</v>
      </c>
      <c r="Q15" s="10" t="n">
        <v>0</v>
      </c>
      <c r="R15" s="10" t="n">
        <v>-807.41</v>
      </c>
      <c r="S15" s="10" t="n">
        <v>0</v>
      </c>
      <c r="T15" s="10" t="n">
        <v>0</v>
      </c>
      <c r="U15" s="10" t="n">
        <v>0</v>
      </c>
      <c r="V15" s="10" t="n">
        <v>-684.16</v>
      </c>
      <c r="W15" s="10" t="n">
        <v>1491.57</v>
      </c>
      <c r="X15" s="10" t="n">
        <v>0</v>
      </c>
      <c r="Y15" s="10" t="n">
        <v>0</v>
      </c>
      <c r="Z15" s="10" t="n">
        <v>0</v>
      </c>
      <c r="AA15" s="10" t="n">
        <v>0</v>
      </c>
      <c r="AB15" s="10" t="n">
        <v>0</v>
      </c>
      <c r="AC15" s="10" t="n">
        <v>0</v>
      </c>
    </row>
    <row r="16" ht="15" customHeight="1">
      <c r="A16" s="8" t="inlineStr">
        <is>
          <t>Cost of Services:Contractors - Client Hours</t>
        </is>
      </c>
      <c r="B16" s="9" t="inlineStr">
        <is>
          <t>Contractors - Client Hours</t>
        </is>
      </c>
      <c r="C16" s="9" t="inlineStr">
        <is>
          <t>E</t>
        </is>
      </c>
      <c r="D16" s="10" t="n">
        <v>109119.97</v>
      </c>
      <c r="E16" s="10" t="n">
        <v>19394.04</v>
      </c>
      <c r="F16" s="10" t="n">
        <v>18266.33</v>
      </c>
      <c r="G16" s="10" t="n">
        <v>20915.87</v>
      </c>
      <c r="H16" s="10" t="n">
        <v>20818.06</v>
      </c>
      <c r="I16" s="10" t="n">
        <v>22253.11</v>
      </c>
      <c r="J16" s="10" t="n">
        <v>21849.94</v>
      </c>
      <c r="K16" s="10" t="n">
        <v>18495.84</v>
      </c>
      <c r="L16" s="10" t="n">
        <v>17320.71</v>
      </c>
      <c r="M16" s="10" t="n">
        <v>19492.66</v>
      </c>
      <c r="N16" s="10" t="n">
        <v>18326.41</v>
      </c>
      <c r="O16" s="10" t="n">
        <v>20629.36</v>
      </c>
      <c r="P16" s="10" t="n">
        <v>21453.48</v>
      </c>
      <c r="Q16" s="10" t="n">
        <v>21869.94</v>
      </c>
      <c r="R16" s="10" t="n">
        <v>21439.57</v>
      </c>
      <c r="S16" s="10" t="n">
        <v>25115.95</v>
      </c>
      <c r="T16" s="10" t="n">
        <v>24359.34</v>
      </c>
      <c r="U16" s="10" t="n">
        <v>24557.02</v>
      </c>
      <c r="V16" s="10" t="n">
        <v>23570.34</v>
      </c>
      <c r="W16" s="10" t="n">
        <v>21932.71</v>
      </c>
      <c r="X16" s="10" t="n">
        <v>21068.2</v>
      </c>
      <c r="Y16" s="10" t="n">
        <v>24105.05</v>
      </c>
      <c r="Z16" s="10" t="n">
        <v>21329.32</v>
      </c>
      <c r="AA16" s="10" t="n">
        <v>23432.68</v>
      </c>
      <c r="AB16" s="10" t="n">
        <v>22967.15</v>
      </c>
      <c r="AC16" s="10" t="n">
        <v>22258.75</v>
      </c>
    </row>
    <row r="17" ht="15" customHeight="1">
      <c r="A17" s="8" t="inlineStr">
        <is>
          <t>Cost of Services:Contractors - Idle Time</t>
        </is>
      </c>
      <c r="B17" s="9" t="inlineStr">
        <is>
          <t>Contractors - Idle Time</t>
        </is>
      </c>
      <c r="C17" s="9" t="inlineStr">
        <is>
          <t>E</t>
        </is>
      </c>
      <c r="D17" s="10" t="n">
        <v>6474.17</v>
      </c>
      <c r="E17" s="10" t="n">
        <v>1166.36</v>
      </c>
      <c r="F17" s="10" t="n">
        <v>817.49</v>
      </c>
      <c r="G17" s="10" t="n">
        <v>899.16</v>
      </c>
      <c r="H17" s="10" t="n">
        <v>668.0599999999999</v>
      </c>
      <c r="I17" s="10" t="n">
        <v>763.66</v>
      </c>
      <c r="J17" s="10" t="n">
        <v>1547.32</v>
      </c>
      <c r="K17" s="10" t="n">
        <v>1484.27</v>
      </c>
      <c r="L17" s="10" t="n">
        <v>985.85</v>
      </c>
      <c r="M17" s="10" t="n">
        <v>856.37</v>
      </c>
      <c r="N17" s="10" t="n">
        <v>1072.85</v>
      </c>
      <c r="O17" s="10" t="n">
        <v>617.86</v>
      </c>
      <c r="P17" s="10" t="n">
        <v>534.89</v>
      </c>
      <c r="Q17" s="10" t="n">
        <v>732.63</v>
      </c>
      <c r="R17" s="10" t="n">
        <v>1252.22</v>
      </c>
      <c r="S17" s="10" t="n">
        <v>1004.05</v>
      </c>
      <c r="T17" s="10" t="n">
        <v>1130.93</v>
      </c>
      <c r="U17" s="10" t="n">
        <v>974.1</v>
      </c>
      <c r="V17" s="10" t="n">
        <v>1300.18</v>
      </c>
      <c r="W17" s="10" t="n">
        <v>1260.22</v>
      </c>
      <c r="X17" s="10" t="n">
        <v>1062.81</v>
      </c>
      <c r="Y17" s="10" t="n">
        <v>1311.04</v>
      </c>
      <c r="Z17" s="10" t="n">
        <v>1443.68</v>
      </c>
      <c r="AA17" s="10" t="n">
        <v>1059.39</v>
      </c>
      <c r="AB17" s="10" t="n">
        <v>1295.65</v>
      </c>
      <c r="AC17" s="10" t="n">
        <v>701.8200000000001</v>
      </c>
    </row>
    <row r="18" ht="15" customHeight="1">
      <c r="A18" s="8" t="inlineStr">
        <is>
          <t>Cost of Services:Contractors - Others</t>
        </is>
      </c>
      <c r="B18" s="9" t="inlineStr">
        <is>
          <t>Contractors - Others</t>
        </is>
      </c>
      <c r="C18" s="9" t="inlineStr">
        <is>
          <t>E</t>
        </is>
      </c>
      <c r="D18" s="10" t="n">
        <v>31650.69</v>
      </c>
      <c r="E18" s="10" t="n">
        <v>7834.29</v>
      </c>
      <c r="F18" s="10" t="n">
        <v>6064.7</v>
      </c>
      <c r="G18" s="10" t="n">
        <v>4091.34</v>
      </c>
      <c r="H18" s="10" t="n">
        <v>3818.86</v>
      </c>
      <c r="I18" s="10" t="n">
        <v>3589.5</v>
      </c>
      <c r="J18" s="10" t="n">
        <v>3313.24</v>
      </c>
      <c r="K18" s="10" t="n">
        <v>3575.32</v>
      </c>
      <c r="L18" s="10" t="n">
        <v>7481.92</v>
      </c>
      <c r="M18" s="10" t="n">
        <v>3575.32</v>
      </c>
      <c r="N18" s="10" t="n">
        <v>2981.41</v>
      </c>
      <c r="O18" s="10" t="n">
        <v>3675.91</v>
      </c>
      <c r="P18" s="10" t="n">
        <v>3134.72</v>
      </c>
      <c r="Q18" s="10" t="n">
        <v>2707.3</v>
      </c>
      <c r="R18" s="10" t="n">
        <v>2899.91</v>
      </c>
      <c r="S18" s="10" t="n">
        <v>4162.38</v>
      </c>
      <c r="T18" s="10" t="n">
        <v>3519.64</v>
      </c>
      <c r="U18" s="10" t="n">
        <v>3252.98</v>
      </c>
      <c r="V18" s="10" t="n">
        <v>3797.61</v>
      </c>
      <c r="W18" s="10" t="n">
        <v>4713.44</v>
      </c>
      <c r="X18" s="10" t="n">
        <v>6541.99</v>
      </c>
      <c r="Y18" s="10" t="n">
        <v>3330.03</v>
      </c>
      <c r="Z18" s="10" t="n">
        <v>3372.95</v>
      </c>
      <c r="AA18" s="10" t="n">
        <v>4847.32</v>
      </c>
      <c r="AB18" s="10" t="n">
        <v>3915.98</v>
      </c>
      <c r="AC18" s="10" t="n">
        <v>3525.4</v>
      </c>
    </row>
    <row r="19" ht="15" customHeight="1">
      <c r="A19" s="8" t="inlineStr">
        <is>
          <t>Cost of Services:VA Incentives</t>
        </is>
      </c>
      <c r="B19" s="9" t="inlineStr">
        <is>
          <t>VA Incentives</t>
        </is>
      </c>
      <c r="C19" s="9" t="inlineStr">
        <is>
          <t>E</t>
        </is>
      </c>
      <c r="D19" s="10" t="n">
        <v>1657</v>
      </c>
      <c r="E19" s="10" t="n">
        <v>247.85</v>
      </c>
      <c r="F19" s="10" t="n">
        <v>354.06</v>
      </c>
      <c r="G19" s="10" t="n">
        <v>309.98</v>
      </c>
      <c r="H19" s="10" t="n">
        <v>50.56</v>
      </c>
      <c r="I19" s="10" t="n">
        <v>409.59</v>
      </c>
      <c r="J19" s="10" t="n">
        <v>126.1</v>
      </c>
      <c r="K19" s="10" t="n">
        <v>278.28</v>
      </c>
      <c r="L19" s="10" t="n">
        <v>257.2</v>
      </c>
      <c r="M19" s="10" t="n">
        <v>252.19</v>
      </c>
      <c r="N19" s="10" t="n">
        <v>111.07</v>
      </c>
      <c r="O19" s="10" t="n">
        <v>476.68</v>
      </c>
      <c r="P19" s="10" t="n">
        <v>85.67</v>
      </c>
      <c r="Q19" s="10" t="n">
        <v>206.89</v>
      </c>
      <c r="R19" s="10" t="n">
        <v>714.8200000000001</v>
      </c>
      <c r="S19" s="10" t="n">
        <v>297.3</v>
      </c>
      <c r="T19" s="10" t="n">
        <v>105.81</v>
      </c>
      <c r="U19" s="10" t="n">
        <v>472.45</v>
      </c>
      <c r="V19" s="10" t="n">
        <v>242.07</v>
      </c>
      <c r="W19" s="10" t="n">
        <v>140.88</v>
      </c>
      <c r="X19" s="10" t="n">
        <v>466.66</v>
      </c>
      <c r="Y19" s="10" t="n">
        <v>302.49</v>
      </c>
      <c r="Z19" s="10" t="n">
        <v>116.64</v>
      </c>
      <c r="AA19" s="10" t="n">
        <v>711.88</v>
      </c>
      <c r="AB19" s="10" t="n">
        <v>157.59</v>
      </c>
      <c r="AC19" s="10" t="n">
        <v>236.81</v>
      </c>
    </row>
    <row r="20" ht="15" customHeight="1">
      <c r="A20" s="8" t="inlineStr">
        <is>
          <t>Credit Card Rewards</t>
        </is>
      </c>
      <c r="B20" s="9" t="inlineStr">
        <is>
          <t>Credit Card Rewards</t>
        </is>
      </c>
      <c r="C20" s="9" t="inlineStr">
        <is>
          <t>R</t>
        </is>
      </c>
      <c r="D20" s="10" t="n">
        <v>-82.70999999999999</v>
      </c>
      <c r="E20" s="10" t="n">
        <v>-23.47</v>
      </c>
      <c r="F20" s="10" t="n">
        <v>-24.66</v>
      </c>
      <c r="G20" s="10" t="n">
        <v>-39.71</v>
      </c>
      <c r="H20" s="10" t="n">
        <v>-41.08</v>
      </c>
      <c r="I20" s="10" t="n">
        <v>-34.78</v>
      </c>
      <c r="J20" s="10" t="n">
        <v>-25.85</v>
      </c>
      <c r="K20" s="10" t="n">
        <v>-36.47</v>
      </c>
      <c r="L20" s="10" t="n">
        <v>-48.14</v>
      </c>
      <c r="M20" s="10" t="n">
        <v>-36.84</v>
      </c>
      <c r="N20" s="10" t="n">
        <v>-23.1</v>
      </c>
      <c r="O20" s="10" t="n">
        <v>-25.27</v>
      </c>
      <c r="P20" s="10" t="n">
        <v>-21.8</v>
      </c>
      <c r="Q20" s="10" t="n">
        <v>-20.88</v>
      </c>
      <c r="R20" s="10" t="n">
        <v>-34.71</v>
      </c>
      <c r="S20" s="10" t="n">
        <v>-24.8</v>
      </c>
      <c r="T20" s="10" t="n">
        <v>-20.02</v>
      </c>
      <c r="U20" s="10" t="n">
        <v>-57.24</v>
      </c>
      <c r="V20" s="10" t="n">
        <v>-75.19</v>
      </c>
      <c r="W20" s="10" t="n">
        <v>-39.14</v>
      </c>
      <c r="X20" s="10" t="n">
        <v>-30.22</v>
      </c>
      <c r="Y20" s="10" t="n">
        <v>0</v>
      </c>
      <c r="Z20" s="10" t="n">
        <v>-101.61</v>
      </c>
      <c r="AA20" s="10" t="n">
        <v>-16.1</v>
      </c>
      <c r="AB20" s="10" t="n">
        <v>-21.59</v>
      </c>
      <c r="AC20" s="10" t="n">
        <v>-21.89</v>
      </c>
    </row>
    <row r="21" ht="15" customHeight="1">
      <c r="A21" s="8" t="inlineStr">
        <is>
          <t>Discounts</t>
        </is>
      </c>
      <c r="B21" s="9" t="inlineStr">
        <is>
          <t>Discounts</t>
        </is>
      </c>
      <c r="C21" s="9" t="inlineStr">
        <is>
          <t>XR</t>
        </is>
      </c>
      <c r="D21" s="10" t="n">
        <v>5088</v>
      </c>
      <c r="E21" s="10" t="n">
        <v>1260</v>
      </c>
      <c r="F21" s="10" t="n">
        <v>1578</v>
      </c>
      <c r="G21" s="10" t="n">
        <v>1800</v>
      </c>
      <c r="H21" s="10" t="n">
        <v>2160</v>
      </c>
      <c r="I21" s="10" t="n">
        <v>1125</v>
      </c>
      <c r="J21" s="10" t="n">
        <v>1500</v>
      </c>
      <c r="K21" s="10" t="n">
        <v>2610</v>
      </c>
      <c r="L21" s="10" t="n">
        <v>750</v>
      </c>
      <c r="M21" s="10" t="n">
        <v>1500</v>
      </c>
      <c r="N21" s="10" t="n">
        <v>1050</v>
      </c>
      <c r="O21" s="10" t="n">
        <v>1410</v>
      </c>
      <c r="P21" s="10" t="n">
        <v>2328</v>
      </c>
      <c r="Q21" s="10" t="n">
        <v>600</v>
      </c>
      <c r="R21" s="10" t="n">
        <v>1638</v>
      </c>
      <c r="S21" s="10" t="n">
        <v>1500</v>
      </c>
      <c r="T21" s="10" t="n">
        <v>1128</v>
      </c>
      <c r="U21" s="10" t="n">
        <v>3060.5</v>
      </c>
      <c r="V21" s="10" t="n">
        <v>2556</v>
      </c>
      <c r="W21" s="10" t="n">
        <v>1728</v>
      </c>
      <c r="X21" s="10" t="n">
        <v>3804</v>
      </c>
      <c r="Y21" s="10" t="n">
        <v>2028</v>
      </c>
      <c r="Z21" s="10" t="n">
        <v>828</v>
      </c>
      <c r="AA21" s="10" t="n">
        <v>1788</v>
      </c>
      <c r="AB21" s="10" t="n">
        <v>2378</v>
      </c>
      <c r="AC21" s="10" t="n">
        <v>350</v>
      </c>
    </row>
    <row r="22" ht="15" customHeight="1">
      <c r="A22" s="8" t="inlineStr">
        <is>
          <t>Fees and Charges:Bank Charges &amp; Fees</t>
        </is>
      </c>
      <c r="B22" s="9" t="inlineStr">
        <is>
          <t>Bank Charges &amp; Fees</t>
        </is>
      </c>
      <c r="C22" s="9" t="inlineStr">
        <is>
          <t>E</t>
        </is>
      </c>
      <c r="D22" s="10" t="n">
        <v>2396.23</v>
      </c>
      <c r="E22" s="10" t="n">
        <v>470.33</v>
      </c>
      <c r="F22" s="10" t="n">
        <v>462.12</v>
      </c>
      <c r="G22" s="10" t="n">
        <v>397</v>
      </c>
      <c r="H22" s="10" t="n">
        <v>319.04</v>
      </c>
      <c r="I22" s="10" t="n">
        <v>320.48</v>
      </c>
      <c r="J22" s="10" t="n">
        <v>441.55</v>
      </c>
      <c r="K22" s="10" t="n">
        <v>386.42</v>
      </c>
      <c r="L22" s="10" t="n">
        <v>262.14</v>
      </c>
      <c r="M22" s="10" t="n">
        <v>410.33</v>
      </c>
      <c r="N22" s="10" t="n">
        <v>471.14</v>
      </c>
      <c r="O22" s="10" t="n">
        <v>543.1</v>
      </c>
      <c r="P22" s="10" t="n">
        <v>542.49</v>
      </c>
      <c r="Q22" s="10" t="n">
        <v>393.98</v>
      </c>
      <c r="R22" s="10" t="n">
        <v>633.66</v>
      </c>
      <c r="S22" s="10" t="n">
        <v>306.38</v>
      </c>
      <c r="T22" s="10" t="n">
        <v>238.38</v>
      </c>
      <c r="U22" s="10" t="n">
        <v>50</v>
      </c>
      <c r="V22" s="10" t="n">
        <v>200</v>
      </c>
      <c r="W22" s="10" t="n">
        <v>75</v>
      </c>
      <c r="X22" s="10" t="n">
        <v>50</v>
      </c>
      <c r="Y22" s="10" t="n">
        <v>50</v>
      </c>
      <c r="Z22" s="10" t="n">
        <v>50</v>
      </c>
      <c r="AA22" s="10" t="n">
        <v>50</v>
      </c>
      <c r="AB22" s="10" t="n">
        <v>50</v>
      </c>
      <c r="AC22" s="10" t="n">
        <v>50</v>
      </c>
    </row>
    <row r="23" ht="15" customHeight="1">
      <c r="A23" s="8" t="inlineStr">
        <is>
          <t>Fees and Charges:Credit Card Fees</t>
        </is>
      </c>
      <c r="B23" s="9" t="inlineStr">
        <is>
          <t>Credit Card Fees</t>
        </is>
      </c>
      <c r="C23" s="9" t="inlineStr">
        <is>
          <t>E</t>
        </is>
      </c>
      <c r="D23" s="10" t="n">
        <v>11427.2</v>
      </c>
      <c r="E23" s="10" t="n">
        <v>2021.82</v>
      </c>
      <c r="F23" s="10" t="n">
        <v>2238.34</v>
      </c>
      <c r="G23" s="10" t="n">
        <v>2179.75</v>
      </c>
      <c r="H23" s="10" t="n">
        <v>2056.74</v>
      </c>
      <c r="I23" s="10" t="n">
        <v>2287.53</v>
      </c>
      <c r="J23" s="10" t="n">
        <v>2147.83</v>
      </c>
      <c r="K23" s="10" t="n">
        <v>2006.63</v>
      </c>
      <c r="L23" s="10" t="n">
        <v>2006.58</v>
      </c>
      <c r="M23" s="10" t="n">
        <v>1829.52</v>
      </c>
      <c r="N23" s="10" t="n">
        <v>2056.43</v>
      </c>
      <c r="O23" s="10" t="n">
        <v>2372.6</v>
      </c>
      <c r="P23" s="10" t="n">
        <v>2474.8</v>
      </c>
      <c r="Q23" s="10" t="n">
        <v>1536.15</v>
      </c>
      <c r="R23" s="10" t="n">
        <v>2923.12</v>
      </c>
      <c r="S23" s="10" t="n">
        <v>1991.18</v>
      </c>
      <c r="T23" s="10" t="n">
        <v>2192.39</v>
      </c>
      <c r="U23" s="10" t="n">
        <v>2815.59</v>
      </c>
      <c r="V23" s="10" t="n">
        <v>2522.76</v>
      </c>
      <c r="W23" s="10" t="n">
        <v>2423.45</v>
      </c>
      <c r="X23" s="10" t="n">
        <v>2564.93</v>
      </c>
      <c r="Y23" s="10" t="n">
        <v>1955.47</v>
      </c>
      <c r="Z23" s="10" t="n">
        <v>2117.68</v>
      </c>
      <c r="AA23" s="10" t="n">
        <v>2729.73</v>
      </c>
      <c r="AB23" s="10" t="n">
        <v>2337.59</v>
      </c>
      <c r="AC23" s="10" t="n">
        <v>1878.05</v>
      </c>
    </row>
    <row r="24" ht="15" customHeight="1">
      <c r="A24" s="8" t="inlineStr">
        <is>
          <t>Home Office Deduction</t>
        </is>
      </c>
      <c r="B24" s="9" t="inlineStr">
        <is>
          <t>Home Office Deduction</t>
        </is>
      </c>
      <c r="C24" s="9" t="inlineStr">
        <is>
          <t>E</t>
        </is>
      </c>
      <c r="D24" s="10" t="n">
        <v>0</v>
      </c>
      <c r="E24" s="10" t="n">
        <v>0</v>
      </c>
      <c r="F24" s="10" t="n">
        <v>0</v>
      </c>
      <c r="G24" s="10" t="n">
        <v>0</v>
      </c>
      <c r="H24" s="10" t="n">
        <v>0</v>
      </c>
      <c r="I24" s="10" t="n">
        <v>0</v>
      </c>
      <c r="J24" s="10" t="n">
        <v>0</v>
      </c>
      <c r="K24" s="10" t="n">
        <v>11424.73</v>
      </c>
      <c r="L24" s="10" t="n">
        <v>0</v>
      </c>
      <c r="M24" s="10" t="n">
        <v>0</v>
      </c>
      <c r="N24" s="10" t="n">
        <v>0</v>
      </c>
      <c r="O24" s="10" t="n">
        <v>0</v>
      </c>
      <c r="P24" s="10" t="n">
        <v>0</v>
      </c>
      <c r="Q24" s="10" t="n">
        <v>0</v>
      </c>
      <c r="R24" s="10" t="n">
        <v>0</v>
      </c>
      <c r="S24" s="10" t="n">
        <v>0</v>
      </c>
      <c r="T24" s="10" t="n">
        <v>0</v>
      </c>
      <c r="U24" s="10" t="n">
        <v>0</v>
      </c>
      <c r="V24" s="10" t="n">
        <v>0</v>
      </c>
      <c r="W24" s="10" t="n">
        <v>6986.8</v>
      </c>
      <c r="X24" s="10" t="n">
        <v>0</v>
      </c>
      <c r="Y24" s="10" t="n">
        <v>0</v>
      </c>
      <c r="Z24" s="10" t="n">
        <v>0</v>
      </c>
      <c r="AA24" s="10" t="n">
        <v>0</v>
      </c>
      <c r="AB24" s="10" t="n">
        <v>0</v>
      </c>
      <c r="AC24" s="10" t="n">
        <v>0</v>
      </c>
    </row>
    <row r="25" ht="15" customHeight="1">
      <c r="A25" s="8" t="inlineStr">
        <is>
          <t>Income</t>
        </is>
      </c>
      <c r="B25" s="9" t="inlineStr">
        <is>
          <t>Service Revenue</t>
        </is>
      </c>
      <c r="C25" s="9" t="inlineStr">
        <is>
          <t>R</t>
        </is>
      </c>
      <c r="D25" s="10" t="n">
        <v>-386970.54</v>
      </c>
      <c r="E25" s="10" t="n">
        <v>-68051.11</v>
      </c>
      <c r="F25" s="10" t="n">
        <v>-81627.00999999999</v>
      </c>
      <c r="G25" s="10" t="n">
        <v>-72116.39999999999</v>
      </c>
      <c r="H25" s="10" t="n">
        <v>-71580.32000000001</v>
      </c>
      <c r="I25" s="10" t="n">
        <v>-75657.75</v>
      </c>
      <c r="J25" s="10" t="n">
        <v>-71033.56</v>
      </c>
      <c r="K25" s="10" t="n">
        <v>-70881.91</v>
      </c>
      <c r="L25" s="10" t="n">
        <v>-66313.39</v>
      </c>
      <c r="M25" s="10" t="n">
        <v>-61919.05</v>
      </c>
      <c r="N25" s="10" t="n">
        <v>-69485.32000000001</v>
      </c>
      <c r="O25" s="10" t="n">
        <v>-77448.33</v>
      </c>
      <c r="P25" s="10" t="n">
        <v>-83272.41</v>
      </c>
      <c r="Q25" s="10" t="n">
        <v>-55987.5</v>
      </c>
      <c r="R25" s="10" t="n">
        <v>-97281.23</v>
      </c>
      <c r="S25" s="10" t="n">
        <v>-65230.76</v>
      </c>
      <c r="T25" s="10" t="n">
        <v>-78706.91</v>
      </c>
      <c r="U25" s="10" t="n">
        <v>-98271.75</v>
      </c>
      <c r="V25" s="10" t="n">
        <v>-83283.37</v>
      </c>
      <c r="W25" s="10" t="n">
        <v>-81117.89999999999</v>
      </c>
      <c r="X25" s="10" t="n">
        <v>-95842.24000000001</v>
      </c>
      <c r="Y25" s="10" t="n">
        <v>-65696.46000000001</v>
      </c>
      <c r="Z25" s="10" t="n">
        <v>-69807.44</v>
      </c>
      <c r="AA25" s="10" t="n">
        <v>-96105.92</v>
      </c>
      <c r="AB25" s="10" t="n">
        <v>-80095.39</v>
      </c>
      <c r="AC25" s="10" t="n">
        <v>-64477.22</v>
      </c>
    </row>
    <row r="26" ht="15" customHeight="1">
      <c r="A26" s="8" t="inlineStr">
        <is>
          <t>Income from Smart VA Academy</t>
        </is>
      </c>
      <c r="B26" s="9" t="inlineStr">
        <is>
          <t>Smart VA Academy Revenue</t>
        </is>
      </c>
      <c r="C26" s="9" t="inlineStr">
        <is>
          <t>R</t>
        </is>
      </c>
      <c r="D26" s="10" t="n">
        <v>-120.69</v>
      </c>
      <c r="E26" s="10" t="n">
        <v>-8.43</v>
      </c>
      <c r="F26" s="10" t="n">
        <v>-8.460000000000001</v>
      </c>
      <c r="G26" s="10" t="n">
        <v>-8.5</v>
      </c>
      <c r="H26" s="10" t="n">
        <v>0</v>
      </c>
      <c r="I26" s="10" t="n">
        <v>-69.91</v>
      </c>
      <c r="J26" s="10" t="n">
        <v>-21.02</v>
      </c>
      <c r="K26" s="10" t="n">
        <v>-30.44</v>
      </c>
      <c r="L26" s="10" t="n">
        <v>-22.03</v>
      </c>
      <c r="M26" s="10" t="n">
        <v>-73.41</v>
      </c>
      <c r="N26" s="10" t="n">
        <v>0</v>
      </c>
      <c r="O26" s="10" t="n">
        <v>-62.46</v>
      </c>
      <c r="P26" s="10" t="n">
        <v>-53.48</v>
      </c>
      <c r="Q26" s="10" t="n">
        <v>-96.66</v>
      </c>
      <c r="R26" s="10" t="n">
        <v>-39.98</v>
      </c>
      <c r="S26" s="10" t="n">
        <v>-88.42</v>
      </c>
      <c r="T26" s="10" t="n">
        <v>-8.69</v>
      </c>
      <c r="U26" s="10" t="n">
        <v>-121.29</v>
      </c>
      <c r="V26" s="10" t="n">
        <v>-8.390000000000001</v>
      </c>
      <c r="W26" s="10" t="n">
        <v>-8.460000000000001</v>
      </c>
      <c r="X26" s="10" t="n">
        <v>-8.41</v>
      </c>
      <c r="Y26" s="10" t="n">
        <v>0</v>
      </c>
      <c r="Z26" s="10" t="n">
        <v>-19.82</v>
      </c>
      <c r="AA26" s="10" t="n">
        <v>0</v>
      </c>
      <c r="AB26" s="10" t="n">
        <v>0</v>
      </c>
      <c r="AC26" s="10" t="n">
        <v>0</v>
      </c>
    </row>
    <row r="27" ht="15" customHeight="1">
      <c r="A27" s="8" t="inlineStr">
        <is>
          <t>Intercompany - Meet 5-Star Pros</t>
        </is>
      </c>
      <c r="B27" s="9" t="inlineStr">
        <is>
          <t>Due from Meet 5-Star Pros</t>
        </is>
      </c>
      <c r="C27" s="9" t="inlineStr">
        <is>
          <t>A</t>
        </is>
      </c>
      <c r="D27" s="10" t="n">
        <v>0</v>
      </c>
      <c r="E27" s="10" t="n">
        <v>0</v>
      </c>
      <c r="F27" s="10" t="n">
        <v>0</v>
      </c>
      <c r="G27" s="10" t="n">
        <v>0</v>
      </c>
      <c r="H27" s="10" t="n">
        <v>0</v>
      </c>
      <c r="I27" s="10" t="n">
        <v>0</v>
      </c>
      <c r="J27" s="10" t="n">
        <v>0</v>
      </c>
      <c r="K27" s="10" t="n">
        <v>0</v>
      </c>
      <c r="L27" s="10" t="n">
        <v>0</v>
      </c>
      <c r="M27" s="10" t="n">
        <v>0</v>
      </c>
      <c r="N27" s="10" t="n">
        <v>0</v>
      </c>
      <c r="O27" s="10" t="n">
        <v>0</v>
      </c>
      <c r="P27" s="10" t="n">
        <v>0</v>
      </c>
      <c r="Q27" s="10" t="n">
        <v>0</v>
      </c>
      <c r="R27" s="10" t="n">
        <v>0</v>
      </c>
      <c r="S27" s="10" t="n">
        <v>0</v>
      </c>
      <c r="T27" s="10" t="n">
        <v>0</v>
      </c>
      <c r="U27" s="10" t="n">
        <v>0</v>
      </c>
      <c r="V27" s="10" t="n">
        <v>5109.09</v>
      </c>
      <c r="W27" s="10" t="n">
        <v>-3396.49</v>
      </c>
      <c r="X27" s="10" t="n">
        <v>-1712.6</v>
      </c>
      <c r="Y27" s="10" t="n">
        <v>0</v>
      </c>
      <c r="Z27" s="10" t="n">
        <v>0</v>
      </c>
      <c r="AA27" s="10" t="n">
        <v>0</v>
      </c>
      <c r="AB27" s="10" t="n">
        <v>0</v>
      </c>
      <c r="AC27" s="10" t="n">
        <v>0</v>
      </c>
    </row>
    <row r="28" ht="15" customHeight="1">
      <c r="A28" s="8" t="inlineStr">
        <is>
          <t>Interest Earned</t>
        </is>
      </c>
      <c r="B28" s="9" t="inlineStr">
        <is>
          <t>Interest Earned</t>
        </is>
      </c>
      <c r="C28" s="9" t="inlineStr">
        <is>
          <t>R</t>
        </is>
      </c>
      <c r="D28" s="10" t="n">
        <v>-0.7</v>
      </c>
      <c r="E28" s="10" t="n">
        <v>-0.12</v>
      </c>
      <c r="F28" s="10" t="n">
        <v>-0.12</v>
      </c>
      <c r="G28" s="10" t="n">
        <v>-0.12</v>
      </c>
      <c r="H28" s="10" t="n">
        <v>-0.12</v>
      </c>
      <c r="I28" s="10" t="n">
        <v>-12.54</v>
      </c>
      <c r="J28" s="10" t="n">
        <v>-43.97</v>
      </c>
      <c r="K28" s="10" t="n">
        <v>-33.61</v>
      </c>
      <c r="L28" s="10" t="n">
        <v>-25.37</v>
      </c>
      <c r="M28" s="10" t="n">
        <v>-24.25</v>
      </c>
      <c r="N28" s="10" t="n">
        <v>-31.69</v>
      </c>
      <c r="O28" s="10" t="n">
        <v>-33.56</v>
      </c>
      <c r="P28" s="10" t="n">
        <v>-45.92</v>
      </c>
      <c r="Q28" s="10" t="n">
        <v>-51.11</v>
      </c>
      <c r="R28" s="10" t="n">
        <v>-55.77</v>
      </c>
      <c r="S28" s="10" t="n">
        <v>-56.27</v>
      </c>
      <c r="T28" s="10" t="n">
        <v>-62.91</v>
      </c>
      <c r="U28" s="10" t="n">
        <v>-83.06</v>
      </c>
      <c r="V28" s="10" t="n">
        <v>-86.23</v>
      </c>
      <c r="W28" s="10" t="n">
        <v>-80.73</v>
      </c>
      <c r="X28" s="10" t="n">
        <v>-83.65000000000001</v>
      </c>
      <c r="Y28" s="10" t="n">
        <v>-82.45</v>
      </c>
      <c r="Z28" s="10" t="n">
        <v>-85.91</v>
      </c>
      <c r="AA28" s="10" t="n">
        <v>-85.59</v>
      </c>
      <c r="AB28" s="10" t="n">
        <v>-101.83</v>
      </c>
      <c r="AC28" s="10" t="n">
        <v>-104.7</v>
      </c>
    </row>
    <row r="29" ht="15" customHeight="1">
      <c r="A29" s="8" t="inlineStr">
        <is>
          <t>Interest Expense on Loan</t>
        </is>
      </c>
      <c r="B29" s="9" t="inlineStr">
        <is>
          <t>Interest Expense on Loan</t>
        </is>
      </c>
      <c r="C29" s="9" t="inlineStr">
        <is>
          <t>E</t>
        </is>
      </c>
      <c r="D29" s="10" t="n">
        <v>1968.44</v>
      </c>
      <c r="E29" s="10" t="n">
        <v>386.68</v>
      </c>
      <c r="F29" s="10" t="n">
        <v>239.14</v>
      </c>
      <c r="G29" s="10" t="n">
        <v>164.06</v>
      </c>
      <c r="H29" s="10" t="n">
        <v>0</v>
      </c>
      <c r="I29" s="10" t="n">
        <v>0</v>
      </c>
      <c r="J29" s="10" t="n">
        <v>0</v>
      </c>
      <c r="K29" s="10" t="n">
        <v>1050</v>
      </c>
      <c r="L29" s="10" t="n">
        <v>350</v>
      </c>
      <c r="M29" s="10" t="n">
        <v>0</v>
      </c>
      <c r="N29" s="10" t="n">
        <v>700</v>
      </c>
      <c r="O29" s="10" t="n">
        <v>100</v>
      </c>
      <c r="P29" s="10" t="n">
        <v>100</v>
      </c>
      <c r="Q29" s="10" t="n">
        <v>100</v>
      </c>
      <c r="R29" s="10" t="n">
        <v>100</v>
      </c>
      <c r="S29" s="10" t="n">
        <v>100</v>
      </c>
      <c r="T29" s="10" t="n">
        <v>100</v>
      </c>
      <c r="U29" s="10" t="n">
        <v>0</v>
      </c>
      <c r="V29" s="10" t="n">
        <v>0</v>
      </c>
      <c r="W29" s="10" t="n">
        <v>0</v>
      </c>
      <c r="X29" s="10" t="n">
        <v>0</v>
      </c>
      <c r="Y29" s="10" t="n">
        <v>0</v>
      </c>
      <c r="Z29" s="10" t="n">
        <v>0</v>
      </c>
      <c r="AA29" s="10" t="n">
        <v>0</v>
      </c>
      <c r="AB29" s="10" t="n">
        <v>0</v>
      </c>
      <c r="AC29" s="10" t="n">
        <v>0</v>
      </c>
    </row>
    <row r="30" ht="15" customHeight="1">
      <c r="A30" s="8" t="inlineStr">
        <is>
          <t>Legal &amp; Professional Services</t>
        </is>
      </c>
      <c r="B30" s="9" t="inlineStr">
        <is>
          <t>Legal &amp; Professional Services</t>
        </is>
      </c>
      <c r="C30" s="9" t="inlineStr">
        <is>
          <t>E</t>
        </is>
      </c>
      <c r="D30" s="10" t="n">
        <v>3562.5</v>
      </c>
      <c r="E30" s="10" t="n">
        <v>721.5700000000001</v>
      </c>
      <c r="F30" s="10" t="n">
        <v>2778.75</v>
      </c>
      <c r="G30" s="10" t="n">
        <v>1910</v>
      </c>
      <c r="H30" s="10" t="n">
        <v>3291.25</v>
      </c>
      <c r="I30" s="10" t="n">
        <v>2759.15</v>
      </c>
      <c r="J30" s="10" t="n">
        <v>3190.62</v>
      </c>
      <c r="K30" s="10" t="n">
        <v>6380.7</v>
      </c>
      <c r="L30" s="10" t="n">
        <v>3271.8</v>
      </c>
      <c r="M30" s="10" t="n">
        <v>1925</v>
      </c>
      <c r="N30" s="10" t="n">
        <v>425</v>
      </c>
      <c r="O30" s="10" t="n">
        <v>425</v>
      </c>
      <c r="P30" s="10" t="n">
        <v>1777.15</v>
      </c>
      <c r="Q30" s="10" t="n">
        <v>1112.5</v>
      </c>
      <c r="R30" s="10" t="n">
        <v>425</v>
      </c>
      <c r="S30" s="10" t="n">
        <v>425</v>
      </c>
      <c r="T30" s="10" t="n">
        <v>1387.5</v>
      </c>
      <c r="U30" s="10" t="n">
        <v>425</v>
      </c>
      <c r="V30" s="10" t="n">
        <v>700</v>
      </c>
      <c r="W30" s="10" t="n">
        <v>700</v>
      </c>
      <c r="X30" s="10" t="n">
        <v>425</v>
      </c>
      <c r="Y30" s="10" t="n">
        <v>425</v>
      </c>
      <c r="Z30" s="10" t="n">
        <v>425</v>
      </c>
      <c r="AA30" s="10" t="n">
        <v>425</v>
      </c>
      <c r="AB30" s="10" t="n">
        <v>425</v>
      </c>
      <c r="AC30" s="10" t="n">
        <v>425</v>
      </c>
    </row>
    <row r="31" ht="15" customHeight="1">
      <c r="A31" s="8" t="inlineStr">
        <is>
          <t>Line of Credit</t>
        </is>
      </c>
      <c r="B31" s="9" t="inlineStr">
        <is>
          <t>Line of Credit</t>
        </is>
      </c>
      <c r="C31" s="9" t="inlineStr">
        <is>
          <t>L</t>
        </is>
      </c>
      <c r="D31" s="10" t="n">
        <v>0</v>
      </c>
      <c r="E31" s="10" t="n">
        <v>0</v>
      </c>
      <c r="F31" s="10" t="n">
        <v>0</v>
      </c>
      <c r="G31" s="10" t="n">
        <v>0</v>
      </c>
      <c r="H31" s="10" t="n">
        <v>0</v>
      </c>
      <c r="I31" s="10" t="n">
        <v>-20000</v>
      </c>
      <c r="J31" s="10" t="n">
        <v>0</v>
      </c>
      <c r="K31" s="10" t="n">
        <v>866.67</v>
      </c>
      <c r="L31" s="10" t="n">
        <v>1766.67</v>
      </c>
      <c r="M31" s="10" t="n">
        <v>2016.67</v>
      </c>
      <c r="N31" s="10" t="n">
        <v>1316.67</v>
      </c>
      <c r="O31" s="10" t="n">
        <v>1916.67</v>
      </c>
      <c r="P31" s="10" t="n">
        <v>1916.67</v>
      </c>
      <c r="Q31" s="10" t="n">
        <v>1766.67</v>
      </c>
      <c r="R31" s="10" t="n">
        <v>1666.67</v>
      </c>
      <c r="S31" s="10" t="n">
        <v>1666.67</v>
      </c>
      <c r="T31" s="10" t="n">
        <v>1666.67</v>
      </c>
      <c r="U31" s="10" t="n">
        <v>1766.67</v>
      </c>
      <c r="V31" s="10" t="n">
        <v>1666.63</v>
      </c>
      <c r="W31" s="10" t="n">
        <v>0</v>
      </c>
      <c r="X31" s="10" t="n">
        <v>0</v>
      </c>
      <c r="Y31" s="10" t="n">
        <v>0</v>
      </c>
      <c r="Z31" s="10" t="n">
        <v>0</v>
      </c>
      <c r="AA31" s="10" t="n">
        <v>0</v>
      </c>
      <c r="AB31" s="10" t="n">
        <v>0</v>
      </c>
      <c r="AC31" s="10" t="n">
        <v>0</v>
      </c>
    </row>
    <row r="32" ht="15" customHeight="1">
      <c r="A32" s="8" t="inlineStr">
        <is>
          <t>Loan Payable</t>
        </is>
      </c>
      <c r="B32" s="9" t="inlineStr">
        <is>
          <t>Loan Payable</t>
        </is>
      </c>
      <c r="C32" s="9" t="inlineStr">
        <is>
          <t>L</t>
        </is>
      </c>
      <c r="D32" s="10" t="n">
        <v>-5559.1</v>
      </c>
      <c r="E32" s="10" t="n">
        <v>2723.61</v>
      </c>
      <c r="F32" s="10" t="n">
        <v>1684.41</v>
      </c>
      <c r="G32" s="10" t="n">
        <v>1151.08</v>
      </c>
      <c r="H32" s="10" t="n">
        <v>0</v>
      </c>
      <c r="I32" s="10" t="n">
        <v>0</v>
      </c>
      <c r="J32" s="10" t="n">
        <v>0</v>
      </c>
      <c r="K32" s="10" t="n">
        <v>0</v>
      </c>
      <c r="L32" s="10" t="n">
        <v>0</v>
      </c>
      <c r="M32" s="10" t="n">
        <v>0</v>
      </c>
      <c r="N32" s="10" t="n">
        <v>0</v>
      </c>
      <c r="O32" s="10" t="n">
        <v>0</v>
      </c>
      <c r="P32" s="10" t="n">
        <v>0</v>
      </c>
      <c r="Q32" s="10" t="n">
        <v>0</v>
      </c>
      <c r="R32" s="10" t="n">
        <v>0</v>
      </c>
      <c r="S32" s="10" t="n">
        <v>0</v>
      </c>
      <c r="T32" s="10" t="n">
        <v>0</v>
      </c>
      <c r="U32" s="10" t="n">
        <v>0</v>
      </c>
      <c r="V32" s="10" t="n">
        <v>0</v>
      </c>
      <c r="W32" s="10" t="n">
        <v>0</v>
      </c>
      <c r="X32" s="10" t="n">
        <v>0</v>
      </c>
      <c r="Y32" s="10" t="n">
        <v>0</v>
      </c>
      <c r="Z32" s="10" t="n">
        <v>0</v>
      </c>
      <c r="AA32" s="10" t="n">
        <v>0</v>
      </c>
      <c r="AB32" s="10" t="n">
        <v>0</v>
      </c>
      <c r="AC32" s="10" t="n">
        <v>0</v>
      </c>
    </row>
    <row r="33" ht="15" customHeight="1">
      <c r="A33" s="8" t="inlineStr">
        <is>
          <t>Marketing Expenses:Advertising &amp; Marketing</t>
        </is>
      </c>
      <c r="B33" s="9" t="inlineStr">
        <is>
          <t>Advertising &amp; Marketing</t>
        </is>
      </c>
      <c r="C33" s="9" t="inlineStr">
        <is>
          <t>E</t>
        </is>
      </c>
      <c r="D33" s="10" t="n">
        <v>5284.73</v>
      </c>
      <c r="E33" s="10" t="n">
        <v>794.66</v>
      </c>
      <c r="F33" s="10" t="n">
        <v>815.95</v>
      </c>
      <c r="G33" s="10" t="n">
        <v>1047.16</v>
      </c>
      <c r="H33" s="10" t="n">
        <v>1019.82</v>
      </c>
      <c r="I33" s="10" t="n">
        <v>771</v>
      </c>
      <c r="J33" s="10" t="n">
        <v>949.58</v>
      </c>
      <c r="K33" s="10" t="n">
        <v>1154.99</v>
      </c>
      <c r="L33" s="10" t="n">
        <v>426.1</v>
      </c>
      <c r="M33" s="10" t="n">
        <v>397.46</v>
      </c>
      <c r="N33" s="10" t="n">
        <v>263.93</v>
      </c>
      <c r="O33" s="10" t="n">
        <v>454.09</v>
      </c>
      <c r="P33" s="10" t="n">
        <v>437.04</v>
      </c>
      <c r="Q33" s="10" t="n">
        <v>836.91</v>
      </c>
      <c r="R33" s="10" t="n">
        <v>586.22</v>
      </c>
      <c r="S33" s="10" t="n">
        <v>359.35</v>
      </c>
      <c r="T33" s="10" t="n">
        <v>488.99</v>
      </c>
      <c r="U33" s="10" t="n">
        <v>466.09</v>
      </c>
      <c r="V33" s="10" t="n">
        <v>608.78</v>
      </c>
      <c r="W33" s="10" t="n">
        <v>552.84</v>
      </c>
      <c r="X33" s="10" t="n">
        <v>412.8</v>
      </c>
      <c r="Y33" s="10" t="n">
        <v>357.41</v>
      </c>
      <c r="Z33" s="10" t="n">
        <v>615.5700000000001</v>
      </c>
      <c r="AA33" s="10" t="n">
        <v>548.0700000000001</v>
      </c>
      <c r="AB33" s="10" t="n">
        <v>583.71</v>
      </c>
      <c r="AC33" s="10" t="n">
        <v>792.14</v>
      </c>
    </row>
    <row r="34" ht="15" customHeight="1">
      <c r="A34" s="8" t="inlineStr">
        <is>
          <t>Marketing Expenses:Marketing Softwares</t>
        </is>
      </c>
      <c r="B34" s="9" t="inlineStr">
        <is>
          <t>Marketing Softwares</t>
        </is>
      </c>
      <c r="C34" s="9" t="inlineStr">
        <is>
          <t>E</t>
        </is>
      </c>
      <c r="D34" s="10" t="n">
        <v>935.05</v>
      </c>
      <c r="E34" s="10" t="n">
        <v>662.09</v>
      </c>
      <c r="F34" s="10" t="n">
        <v>236.68</v>
      </c>
      <c r="G34" s="10" t="n">
        <v>279.23</v>
      </c>
      <c r="H34" s="10" t="n">
        <v>340.67</v>
      </c>
      <c r="I34" s="10" t="n">
        <v>277.06</v>
      </c>
      <c r="J34" s="10" t="n">
        <v>212.56</v>
      </c>
      <c r="K34" s="10" t="n">
        <v>332.05</v>
      </c>
      <c r="L34" s="10" t="n">
        <v>291.49</v>
      </c>
      <c r="M34" s="10" t="n">
        <v>341.1</v>
      </c>
      <c r="N34" s="10" t="n">
        <v>250.37</v>
      </c>
      <c r="O34" s="10" t="n">
        <v>245.75</v>
      </c>
      <c r="P34" s="10" t="n">
        <v>380.92</v>
      </c>
      <c r="Q34" s="10" t="n">
        <v>645.24</v>
      </c>
      <c r="R34" s="10" t="n">
        <v>315.52</v>
      </c>
      <c r="S34" s="10" t="n">
        <v>299.58</v>
      </c>
      <c r="T34" s="10" t="n">
        <v>304.11</v>
      </c>
      <c r="U34" s="10" t="n">
        <v>313.11</v>
      </c>
      <c r="V34" s="10" t="n">
        <v>280.1</v>
      </c>
      <c r="W34" s="10" t="n">
        <v>938.9</v>
      </c>
      <c r="X34" s="10" t="n">
        <v>-156</v>
      </c>
      <c r="Y34" s="10" t="n">
        <v>301.55</v>
      </c>
      <c r="Z34" s="10" t="n">
        <v>364.83</v>
      </c>
      <c r="AA34" s="10" t="n">
        <v>301.55</v>
      </c>
      <c r="AB34" s="10" t="n">
        <v>270.51</v>
      </c>
      <c r="AC34" s="10" t="n">
        <v>647.3</v>
      </c>
    </row>
    <row r="35" ht="15" customHeight="1">
      <c r="A35" s="8" t="inlineStr">
        <is>
          <t>Marketing Expenses:Subscriptions</t>
        </is>
      </c>
      <c r="B35" s="9" t="inlineStr">
        <is>
          <t>Marketing Subscriptions</t>
        </is>
      </c>
      <c r="C35" s="9" t="inlineStr">
        <is>
          <t>E</t>
        </is>
      </c>
      <c r="D35" s="10" t="n">
        <v>14.99</v>
      </c>
      <c r="E35" s="10" t="n">
        <v>0</v>
      </c>
      <c r="F35" s="10" t="n">
        <v>0</v>
      </c>
      <c r="G35" s="10" t="n">
        <v>0</v>
      </c>
      <c r="H35" s="10" t="n">
        <v>0</v>
      </c>
      <c r="I35" s="10" t="n">
        <v>0</v>
      </c>
      <c r="J35" s="10" t="n">
        <v>0</v>
      </c>
      <c r="K35" s="10" t="n">
        <v>0</v>
      </c>
      <c r="L35" s="10" t="n">
        <v>0</v>
      </c>
      <c r="M35" s="10" t="n">
        <v>0</v>
      </c>
      <c r="N35" s="10" t="n">
        <v>0</v>
      </c>
      <c r="O35" s="10" t="n">
        <v>0</v>
      </c>
      <c r="P35" s="10" t="n">
        <v>0</v>
      </c>
      <c r="Q35" s="10" t="n">
        <v>0</v>
      </c>
      <c r="R35" s="10" t="n">
        <v>0</v>
      </c>
      <c r="S35" s="10" t="n">
        <v>0</v>
      </c>
      <c r="T35" s="10" t="n">
        <v>0</v>
      </c>
      <c r="U35" s="10" t="n">
        <v>0</v>
      </c>
      <c r="V35" s="10" t="n">
        <v>0</v>
      </c>
      <c r="W35" s="10" t="n">
        <v>97</v>
      </c>
      <c r="X35" s="10" t="n">
        <v>0</v>
      </c>
      <c r="Y35" s="10" t="n">
        <v>0</v>
      </c>
      <c r="Z35" s="10" t="n">
        <v>0</v>
      </c>
      <c r="AA35" s="10" t="n">
        <v>0</v>
      </c>
      <c r="AB35" s="10" t="n">
        <v>0</v>
      </c>
      <c r="AC35" s="10" t="n">
        <v>3.46</v>
      </c>
    </row>
    <row r="36" ht="15" customHeight="1">
      <c r="A36" s="8" t="inlineStr">
        <is>
          <t>Marketing Expenses:VA Pay - Marketing</t>
        </is>
      </c>
      <c r="B36" s="9" t="inlineStr">
        <is>
          <t>VA Pay - Marketing</t>
        </is>
      </c>
      <c r="C36" s="9" t="inlineStr">
        <is>
          <t>E</t>
        </is>
      </c>
      <c r="D36" s="10" t="n">
        <v>18669.35</v>
      </c>
      <c r="E36" s="10" t="n">
        <v>4510.08</v>
      </c>
      <c r="F36" s="10" t="n">
        <v>4160.89</v>
      </c>
      <c r="G36" s="10" t="n">
        <v>4387.96</v>
      </c>
      <c r="H36" s="10" t="n">
        <v>3850.96</v>
      </c>
      <c r="I36" s="10" t="n">
        <v>4025.92</v>
      </c>
      <c r="J36" s="10" t="n">
        <v>3198.27</v>
      </c>
      <c r="K36" s="10" t="n">
        <v>2695.19</v>
      </c>
      <c r="L36" s="10" t="n">
        <v>2513.97</v>
      </c>
      <c r="M36" s="10" t="n">
        <v>3010.22</v>
      </c>
      <c r="N36" s="10" t="n">
        <v>2861.52</v>
      </c>
      <c r="O36" s="10" t="n">
        <v>2868.74</v>
      </c>
      <c r="P36" s="10" t="n">
        <v>3063.17</v>
      </c>
      <c r="Q36" s="10" t="n">
        <v>3158.78</v>
      </c>
      <c r="R36" s="10" t="n">
        <v>3552.28</v>
      </c>
      <c r="S36" s="10" t="n">
        <v>3706.08</v>
      </c>
      <c r="T36" s="10" t="n">
        <v>2873.17</v>
      </c>
      <c r="U36" s="10" t="n">
        <v>3028.44</v>
      </c>
      <c r="V36" s="10" t="n">
        <v>3159.05</v>
      </c>
      <c r="W36" s="10" t="n">
        <v>3285.06</v>
      </c>
      <c r="X36" s="10" t="n">
        <v>2642.71</v>
      </c>
      <c r="Y36" s="10" t="n">
        <v>3502.91</v>
      </c>
      <c r="Z36" s="10" t="n">
        <v>2983.35</v>
      </c>
      <c r="AA36" s="10" t="n">
        <v>3467.93</v>
      </c>
      <c r="AB36" s="10" t="n">
        <v>3470.88</v>
      </c>
      <c r="AC36" s="10" t="n">
        <v>3010.89</v>
      </c>
    </row>
    <row r="37" ht="15" customHeight="1">
      <c r="A37" s="8" t="inlineStr">
        <is>
          <t>Marketing Expenses:Website Fees</t>
        </is>
      </c>
      <c r="B37" s="9" t="inlineStr">
        <is>
          <t>Website Fees</t>
        </is>
      </c>
      <c r="C37" s="9" t="inlineStr">
        <is>
          <t>E</t>
        </is>
      </c>
      <c r="D37" s="10" t="n">
        <v>641.42</v>
      </c>
      <c r="E37" s="10" t="n">
        <v>196.32</v>
      </c>
      <c r="F37" s="10" t="n">
        <v>101.81</v>
      </c>
      <c r="G37" s="10" t="n">
        <v>101.81</v>
      </c>
      <c r="H37" s="10" t="n">
        <v>110.39</v>
      </c>
      <c r="I37" s="10" t="n">
        <v>110.39</v>
      </c>
      <c r="J37" s="10" t="n">
        <v>360.65</v>
      </c>
      <c r="K37" s="10" t="n">
        <v>176.9</v>
      </c>
      <c r="L37" s="10" t="n">
        <v>132.56</v>
      </c>
      <c r="M37" s="10" t="n">
        <v>110.39</v>
      </c>
      <c r="N37" s="10" t="n">
        <v>110.39</v>
      </c>
      <c r="O37" s="10" t="n">
        <v>110.39</v>
      </c>
      <c r="P37" s="10" t="n">
        <v>134.7</v>
      </c>
      <c r="Q37" s="10" t="n">
        <v>156.87</v>
      </c>
      <c r="R37" s="10" t="n">
        <v>112.53</v>
      </c>
      <c r="S37" s="10" t="n">
        <v>112.53</v>
      </c>
      <c r="T37" s="10" t="n">
        <v>112.53</v>
      </c>
      <c r="U37" s="10" t="n">
        <v>112.53</v>
      </c>
      <c r="V37" s="10" t="n">
        <v>318.45</v>
      </c>
      <c r="W37" s="10" t="n">
        <v>112.53</v>
      </c>
      <c r="X37" s="10" t="n">
        <v>112.53</v>
      </c>
      <c r="Y37" s="10" t="n">
        <v>112.53</v>
      </c>
      <c r="Z37" s="10" t="n">
        <v>112.53</v>
      </c>
      <c r="AA37" s="10" t="n">
        <v>112.53</v>
      </c>
      <c r="AB37" s="10" t="n">
        <v>138.5</v>
      </c>
      <c r="AC37" s="10" t="n">
        <v>112.53</v>
      </c>
    </row>
    <row r="38" ht="15" customHeight="1">
      <c r="A38" s="8" t="inlineStr">
        <is>
          <t>Meet 5-star VAs:Contractor's Fees</t>
        </is>
      </c>
      <c r="B38" s="9" t="inlineStr">
        <is>
          <t>Due from Meet 5-star VAs</t>
        </is>
      </c>
      <c r="C38" s="9" t="inlineStr">
        <is>
          <t>A</t>
        </is>
      </c>
      <c r="D38" s="10" t="n">
        <v>0</v>
      </c>
      <c r="E38" s="10" t="n">
        <v>0</v>
      </c>
      <c r="F38" s="10" t="n">
        <v>0</v>
      </c>
      <c r="G38" s="10" t="n">
        <v>0</v>
      </c>
      <c r="H38" s="10" t="n">
        <v>90.53</v>
      </c>
      <c r="I38" s="10" t="n">
        <v>-90.53</v>
      </c>
      <c r="J38" s="10" t="n">
        <v>0</v>
      </c>
      <c r="K38" s="10" t="n">
        <v>0</v>
      </c>
      <c r="L38" s="10" t="n">
        <v>0</v>
      </c>
      <c r="M38" s="10" t="n">
        <v>0</v>
      </c>
      <c r="N38" s="10" t="n">
        <v>0</v>
      </c>
      <c r="O38" s="10" t="n">
        <v>0</v>
      </c>
      <c r="P38" s="10" t="n">
        <v>0</v>
      </c>
      <c r="Q38" s="10" t="n">
        <v>0</v>
      </c>
      <c r="R38" s="10" t="n">
        <v>0</v>
      </c>
      <c r="S38" s="10" t="n">
        <v>0</v>
      </c>
      <c r="T38" s="10" t="n">
        <v>0</v>
      </c>
      <c r="U38" s="10" t="n">
        <v>0</v>
      </c>
      <c r="V38" s="10" t="n">
        <v>0</v>
      </c>
      <c r="W38" s="10" t="n">
        <v>0</v>
      </c>
      <c r="X38" s="10" t="n">
        <v>0</v>
      </c>
      <c r="Y38" s="10" t="n">
        <v>0</v>
      </c>
      <c r="Z38" s="10" t="n">
        <v>0</v>
      </c>
      <c r="AA38" s="10" t="n">
        <v>0</v>
      </c>
      <c r="AB38" s="10" t="n">
        <v>0</v>
      </c>
      <c r="AC38" s="10" t="n">
        <v>0</v>
      </c>
    </row>
    <row r="39" ht="15" customHeight="1">
      <c r="A39" s="8" t="inlineStr">
        <is>
          <t>Meet 5-star VAs:Meet 5-star VAs Pay - Marketing and Admin</t>
        </is>
      </c>
      <c r="B39" s="9" t="inlineStr">
        <is>
          <t>Due from Meet 5-star VAs</t>
        </is>
      </c>
      <c r="C39" s="9" t="inlineStr">
        <is>
          <t>A</t>
        </is>
      </c>
      <c r="D39" s="10" t="n">
        <v>0</v>
      </c>
      <c r="E39" s="10" t="n">
        <v>-36.03</v>
      </c>
      <c r="F39" s="10" t="n">
        <v>9.48</v>
      </c>
      <c r="G39" s="10" t="n">
        <v>66.14</v>
      </c>
      <c r="H39" s="10" t="n">
        <v>233.03</v>
      </c>
      <c r="I39" s="10" t="n">
        <v>729.34</v>
      </c>
      <c r="J39" s="10" t="n">
        <v>25.01</v>
      </c>
      <c r="K39" s="10" t="n">
        <v>482.97</v>
      </c>
      <c r="L39" s="10" t="n">
        <v>-2042.59</v>
      </c>
      <c r="M39" s="10" t="n">
        <v>0</v>
      </c>
      <c r="N39" s="10" t="n">
        <v>434.04</v>
      </c>
      <c r="O39" s="10" t="n">
        <v>-434.04</v>
      </c>
      <c r="P39" s="10" t="n">
        <v>464.77</v>
      </c>
      <c r="Q39" s="10" t="n">
        <v>718.84</v>
      </c>
      <c r="R39" s="10" t="n">
        <v>-1183.61</v>
      </c>
      <c r="S39" s="10" t="n">
        <v>0</v>
      </c>
      <c r="T39" s="10" t="n">
        <v>0</v>
      </c>
      <c r="U39" s="10" t="n">
        <v>0</v>
      </c>
      <c r="V39" s="10" t="n">
        <v>0</v>
      </c>
      <c r="W39" s="10" t="n">
        <v>0</v>
      </c>
      <c r="X39" s="10" t="n">
        <v>0</v>
      </c>
      <c r="Y39" s="10" t="n">
        <v>0</v>
      </c>
      <c r="Z39" s="10" t="n">
        <v>0</v>
      </c>
      <c r="AA39" s="10" t="n">
        <v>0</v>
      </c>
      <c r="AB39" s="10" t="n">
        <v>0</v>
      </c>
      <c r="AC39" s="10" t="n">
        <v>0</v>
      </c>
    </row>
    <row r="40" ht="15" customHeight="1">
      <c r="A40" s="8" t="inlineStr">
        <is>
          <t>Meet 5-star VAs:Software and Subscriptions</t>
        </is>
      </c>
      <c r="B40" s="9" t="inlineStr">
        <is>
          <t>Due from Meet 5-star VAs</t>
        </is>
      </c>
      <c r="C40" s="9" t="inlineStr">
        <is>
          <t>A</t>
        </is>
      </c>
      <c r="D40" s="10" t="n">
        <v>0</v>
      </c>
      <c r="E40" s="10" t="n">
        <v>300</v>
      </c>
      <c r="F40" s="10" t="n">
        <v>-277.83</v>
      </c>
      <c r="G40" s="10" t="n">
        <v>-22.17</v>
      </c>
      <c r="H40" s="10" t="n">
        <v>0</v>
      </c>
      <c r="I40" s="10" t="n">
        <v>9.91</v>
      </c>
      <c r="J40" s="10" t="n">
        <v>0.3</v>
      </c>
      <c r="K40" s="10" t="n">
        <v>-0.07000000000000001</v>
      </c>
      <c r="L40" s="10" t="n">
        <v>-10.14</v>
      </c>
      <c r="M40" s="10" t="n">
        <v>0</v>
      </c>
      <c r="N40" s="10" t="n">
        <v>10.27</v>
      </c>
      <c r="O40" s="10" t="n">
        <v>-10.27</v>
      </c>
      <c r="P40" s="10" t="n">
        <v>10.63</v>
      </c>
      <c r="Q40" s="10" t="n">
        <v>11.36</v>
      </c>
      <c r="R40" s="10" t="n">
        <v>-21.99</v>
      </c>
      <c r="S40" s="10" t="n">
        <v>0</v>
      </c>
      <c r="T40" s="10" t="n">
        <v>0</v>
      </c>
      <c r="U40" s="10" t="n">
        <v>0</v>
      </c>
      <c r="V40" s="10" t="n">
        <v>0</v>
      </c>
      <c r="W40" s="10" t="n">
        <v>0</v>
      </c>
      <c r="X40" s="10" t="n">
        <v>0</v>
      </c>
      <c r="Y40" s="10" t="n">
        <v>0</v>
      </c>
      <c r="Z40" s="10" t="n">
        <v>0</v>
      </c>
      <c r="AA40" s="10" t="n">
        <v>0</v>
      </c>
      <c r="AB40" s="10" t="n">
        <v>0</v>
      </c>
      <c r="AC40" s="10" t="n">
        <v>0</v>
      </c>
    </row>
    <row r="41" ht="15" customHeight="1">
      <c r="A41" s="8" t="inlineStr">
        <is>
          <t>Office Equipment</t>
        </is>
      </c>
      <c r="B41" s="9" t="inlineStr">
        <is>
          <t>Office Equipment</t>
        </is>
      </c>
      <c r="C41" s="9" t="inlineStr">
        <is>
          <t>A</t>
        </is>
      </c>
      <c r="D41" s="10" t="n">
        <v>8982.85</v>
      </c>
      <c r="E41" s="10" t="n">
        <v>0</v>
      </c>
      <c r="F41" s="10" t="n">
        <v>0</v>
      </c>
      <c r="G41" s="10" t="n">
        <v>0</v>
      </c>
      <c r="H41" s="10" t="n">
        <v>0</v>
      </c>
      <c r="I41" s="10" t="n">
        <v>0</v>
      </c>
      <c r="J41" s="10" t="n">
        <v>0</v>
      </c>
      <c r="K41" s="10" t="n">
        <v>0</v>
      </c>
      <c r="L41" s="10" t="n">
        <v>0</v>
      </c>
      <c r="M41" s="10" t="n">
        <v>0</v>
      </c>
      <c r="N41" s="10" t="n">
        <v>0</v>
      </c>
      <c r="O41" s="10" t="n">
        <v>0</v>
      </c>
      <c r="P41" s="10" t="n">
        <v>0</v>
      </c>
      <c r="Q41" s="10" t="n">
        <v>0</v>
      </c>
      <c r="R41" s="10" t="n">
        <v>0</v>
      </c>
      <c r="S41" s="10" t="n">
        <v>0</v>
      </c>
      <c r="T41" s="10" t="n">
        <v>0</v>
      </c>
      <c r="U41" s="10" t="n">
        <v>0</v>
      </c>
      <c r="V41" s="10" t="n">
        <v>0</v>
      </c>
      <c r="W41" s="10" t="n">
        <v>0</v>
      </c>
      <c r="X41" s="10" t="n">
        <v>0</v>
      </c>
      <c r="Y41" s="10" t="n">
        <v>0</v>
      </c>
      <c r="Z41" s="10" t="n">
        <v>0</v>
      </c>
      <c r="AA41" s="10" t="n">
        <v>0</v>
      </c>
      <c r="AB41" s="10" t="n">
        <v>0</v>
      </c>
      <c r="AC41" s="10" t="n">
        <v>0</v>
      </c>
    </row>
    <row r="42" ht="15" customHeight="1">
      <c r="A42" s="8" t="inlineStr">
        <is>
          <t>Office Furniture &amp; Fixtures</t>
        </is>
      </c>
      <c r="B42" s="9" t="inlineStr">
        <is>
          <t>Office Furniture &amp; Fixtures</t>
        </is>
      </c>
      <c r="C42" s="9" t="inlineStr">
        <is>
          <t>A</t>
        </is>
      </c>
      <c r="D42" s="10" t="n">
        <v>3771.54</v>
      </c>
      <c r="E42" s="10" t="n">
        <v>0</v>
      </c>
      <c r="F42" s="10" t="n">
        <v>0</v>
      </c>
      <c r="G42" s="10" t="n">
        <v>0</v>
      </c>
      <c r="H42" s="10" t="n">
        <v>0</v>
      </c>
      <c r="I42" s="10" t="n">
        <v>0</v>
      </c>
      <c r="J42" s="10" t="n">
        <v>0</v>
      </c>
      <c r="K42" s="10" t="n">
        <v>0</v>
      </c>
      <c r="L42" s="10" t="n">
        <v>0</v>
      </c>
      <c r="M42" s="10" t="n">
        <v>0</v>
      </c>
      <c r="N42" s="10" t="n">
        <v>0</v>
      </c>
      <c r="O42" s="10" t="n">
        <v>0</v>
      </c>
      <c r="P42" s="10" t="n">
        <v>0</v>
      </c>
      <c r="Q42" s="10" t="n">
        <v>0</v>
      </c>
      <c r="R42" s="10" t="n">
        <v>0</v>
      </c>
      <c r="S42" s="10" t="n">
        <v>0</v>
      </c>
      <c r="T42" s="10" t="n">
        <v>0</v>
      </c>
      <c r="U42" s="10" t="n">
        <v>0</v>
      </c>
      <c r="V42" s="10" t="n">
        <v>0</v>
      </c>
      <c r="W42" s="10" t="n">
        <v>0</v>
      </c>
      <c r="X42" s="10" t="n">
        <v>0</v>
      </c>
      <c r="Y42" s="10" t="n">
        <v>0</v>
      </c>
      <c r="Z42" s="10" t="n">
        <v>0</v>
      </c>
      <c r="AA42" s="10" t="n">
        <v>0</v>
      </c>
      <c r="AB42" s="10" t="n">
        <v>0</v>
      </c>
      <c r="AC42" s="10" t="n">
        <v>0</v>
      </c>
    </row>
    <row r="43" ht="15" customHeight="1">
      <c r="A43" s="8" t="inlineStr">
        <is>
          <t>Office/General Administrative Expenses:Client Appreciation</t>
        </is>
      </c>
      <c r="B43" s="9" t="inlineStr">
        <is>
          <t>Client Appreciation</t>
        </is>
      </c>
      <c r="C43" s="9" t="inlineStr">
        <is>
          <t>E</t>
        </is>
      </c>
      <c r="D43" s="10" t="n">
        <v>0</v>
      </c>
      <c r="E43" s="10" t="n">
        <v>0</v>
      </c>
      <c r="F43" s="10" t="n">
        <v>0</v>
      </c>
      <c r="G43" s="10" t="n">
        <v>0</v>
      </c>
      <c r="H43" s="10" t="n">
        <v>0</v>
      </c>
      <c r="I43" s="10" t="n">
        <v>175.36</v>
      </c>
      <c r="J43" s="10" t="n">
        <v>31.18</v>
      </c>
      <c r="K43" s="10" t="n">
        <v>0</v>
      </c>
      <c r="L43" s="10" t="n">
        <v>0</v>
      </c>
      <c r="M43" s="10" t="n">
        <v>0</v>
      </c>
      <c r="N43" s="10" t="n">
        <v>0</v>
      </c>
      <c r="O43" s="10" t="n">
        <v>0</v>
      </c>
      <c r="P43" s="10" t="n">
        <v>0</v>
      </c>
      <c r="Q43" s="10" t="n">
        <v>113.9</v>
      </c>
      <c r="R43" s="10" t="n">
        <v>0</v>
      </c>
      <c r="S43" s="10" t="n">
        <v>0</v>
      </c>
      <c r="T43" s="10" t="n">
        <v>0</v>
      </c>
      <c r="U43" s="10" t="n">
        <v>0</v>
      </c>
      <c r="V43" s="10" t="n">
        <v>0</v>
      </c>
      <c r="W43" s="10" t="n">
        <v>547.61</v>
      </c>
      <c r="X43" s="10" t="n">
        <v>0</v>
      </c>
      <c r="Y43" s="10" t="n">
        <v>0</v>
      </c>
      <c r="Z43" s="10" t="n">
        <v>0</v>
      </c>
      <c r="AA43" s="10" t="n">
        <v>0</v>
      </c>
      <c r="AB43" s="10" t="n">
        <v>0</v>
      </c>
      <c r="AC43" s="10" t="n">
        <v>0</v>
      </c>
    </row>
    <row r="44" ht="15" customHeight="1">
      <c r="A44" s="8" t="inlineStr">
        <is>
          <t>Office/General Administrative Expenses:Employee Appreciation</t>
        </is>
      </c>
      <c r="B44" s="9" t="inlineStr">
        <is>
          <t>Employee Appreciation</t>
        </is>
      </c>
      <c r="C44" s="9" t="inlineStr">
        <is>
          <t>E</t>
        </is>
      </c>
      <c r="D44" s="10" t="n">
        <v>3234.73</v>
      </c>
      <c r="E44" s="10" t="n">
        <v>142.75</v>
      </c>
      <c r="F44" s="10" t="n">
        <v>39.34</v>
      </c>
      <c r="G44" s="10" t="n">
        <v>89.43000000000001</v>
      </c>
      <c r="H44" s="10" t="n">
        <v>268.82</v>
      </c>
      <c r="I44" s="10" t="n">
        <v>0</v>
      </c>
      <c r="J44" s="10" t="n">
        <v>0</v>
      </c>
      <c r="K44" s="10" t="n">
        <v>17967.81</v>
      </c>
      <c r="L44" s="10" t="n">
        <v>0</v>
      </c>
      <c r="M44" s="10" t="n">
        <v>48.47</v>
      </c>
      <c r="N44" s="10" t="n">
        <v>1728.93</v>
      </c>
      <c r="O44" s="10" t="n">
        <v>827.55</v>
      </c>
      <c r="P44" s="10" t="n">
        <v>91.55</v>
      </c>
      <c r="Q44" s="10" t="n">
        <v>0</v>
      </c>
      <c r="R44" s="10" t="n">
        <v>110.39</v>
      </c>
      <c r="S44" s="10" t="n">
        <v>85.48999999999999</v>
      </c>
      <c r="T44" s="10" t="n">
        <v>0</v>
      </c>
      <c r="U44" s="10" t="n">
        <v>968.74</v>
      </c>
      <c r="V44" s="10" t="n">
        <v>211.24</v>
      </c>
      <c r="W44" s="10" t="n">
        <v>14667.56</v>
      </c>
      <c r="X44" s="10" t="n">
        <v>107.77</v>
      </c>
      <c r="Y44" s="10" t="n">
        <v>0</v>
      </c>
      <c r="Z44" s="10" t="n">
        <v>112.41</v>
      </c>
      <c r="AA44" s="10" t="n">
        <v>1363.44</v>
      </c>
      <c r="AB44" s="10" t="n">
        <v>164.53</v>
      </c>
      <c r="AC44" s="10" t="n">
        <v>105.83</v>
      </c>
    </row>
    <row r="45" ht="15" customHeight="1">
      <c r="A45" s="8" t="inlineStr">
        <is>
          <t>Office/General Administrative Expenses:Hub Expenses</t>
        </is>
      </c>
      <c r="B45" s="9" t="inlineStr">
        <is>
          <t>Hub Expenses</t>
        </is>
      </c>
      <c r="C45" s="9" t="inlineStr">
        <is>
          <t>E</t>
        </is>
      </c>
      <c r="D45" s="10" t="n">
        <v>1943.44</v>
      </c>
      <c r="E45" s="10" t="n">
        <v>232.81</v>
      </c>
      <c r="F45" s="10" t="n">
        <v>330.59</v>
      </c>
      <c r="G45" s="10" t="n">
        <v>331.85</v>
      </c>
      <c r="H45" s="10" t="n">
        <v>473.56</v>
      </c>
      <c r="I45" s="10" t="n">
        <v>193.99</v>
      </c>
      <c r="J45" s="10" t="n">
        <v>308.29</v>
      </c>
      <c r="K45" s="10" t="n">
        <v>76.3</v>
      </c>
      <c r="L45" s="10" t="n">
        <v>192.21</v>
      </c>
      <c r="M45" s="10" t="n">
        <v>176.12</v>
      </c>
      <c r="N45" s="10" t="n">
        <v>256.53</v>
      </c>
      <c r="O45" s="10" t="n">
        <v>161.64</v>
      </c>
      <c r="P45" s="10" t="n">
        <v>22.84</v>
      </c>
      <c r="Q45" s="10" t="n">
        <v>0</v>
      </c>
      <c r="R45" s="10" t="n">
        <v>0</v>
      </c>
      <c r="S45" s="10" t="n">
        <v>0</v>
      </c>
      <c r="T45" s="10" t="n">
        <v>0</v>
      </c>
      <c r="U45" s="10" t="n">
        <v>0</v>
      </c>
      <c r="V45" s="10" t="n">
        <v>0</v>
      </c>
      <c r="W45" s="10" t="n">
        <v>0</v>
      </c>
      <c r="X45" s="10" t="n">
        <v>0</v>
      </c>
      <c r="Y45" s="10" t="n">
        <v>0</v>
      </c>
      <c r="Z45" s="10" t="n">
        <v>0</v>
      </c>
      <c r="AA45" s="10" t="n">
        <v>0</v>
      </c>
      <c r="AB45" s="10" t="n">
        <v>0</v>
      </c>
      <c r="AC45" s="10" t="n">
        <v>0</v>
      </c>
    </row>
    <row r="46" ht="15" customHeight="1">
      <c r="A46" s="8" t="inlineStr">
        <is>
          <t>Office/General Administrative Expenses:Leadership Team Pay:OPS - Incentives</t>
        </is>
      </c>
      <c r="B46" s="9" t="inlineStr">
        <is>
          <t>OPS - Incentives</t>
        </is>
      </c>
      <c r="C46" s="9" t="inlineStr">
        <is>
          <t>E</t>
        </is>
      </c>
      <c r="D46" s="10" t="n">
        <v>3553.1</v>
      </c>
      <c r="E46" s="10" t="n">
        <v>116.69</v>
      </c>
      <c r="F46" s="10" t="n">
        <v>1832.08</v>
      </c>
      <c r="G46" s="10" t="n">
        <v>200.16</v>
      </c>
      <c r="H46" s="10" t="n">
        <v>203.75</v>
      </c>
      <c r="I46" s="10" t="n">
        <v>1767.49</v>
      </c>
      <c r="J46" s="10" t="n">
        <v>160.09</v>
      </c>
      <c r="K46" s="10" t="n">
        <v>68.64</v>
      </c>
      <c r="L46" s="10" t="n">
        <v>1110.8</v>
      </c>
      <c r="M46" s="10" t="n">
        <v>43.53</v>
      </c>
      <c r="N46" s="10" t="n">
        <v>193.3</v>
      </c>
      <c r="O46" s="10" t="n">
        <v>1150.33</v>
      </c>
      <c r="P46" s="10" t="n">
        <v>54.35</v>
      </c>
      <c r="Q46" s="10" t="n">
        <v>78.76000000000001</v>
      </c>
      <c r="R46" s="10" t="n">
        <v>1347.09</v>
      </c>
      <c r="S46" s="10" t="n">
        <v>150.44</v>
      </c>
      <c r="T46" s="10" t="n">
        <v>119.76</v>
      </c>
      <c r="U46" s="10" t="n">
        <v>1783.78</v>
      </c>
      <c r="V46" s="10" t="n">
        <v>82.18000000000001</v>
      </c>
      <c r="W46" s="10" t="n">
        <v>152.4</v>
      </c>
      <c r="X46" s="10" t="n">
        <v>1741.25</v>
      </c>
      <c r="Y46" s="10" t="n">
        <v>320.65</v>
      </c>
      <c r="Z46" s="10" t="n">
        <v>152.34</v>
      </c>
      <c r="AA46" s="10" t="n">
        <v>1454.05</v>
      </c>
      <c r="AB46" s="10" t="n">
        <v>309.75</v>
      </c>
      <c r="AC46" s="10" t="n">
        <v>427.85</v>
      </c>
    </row>
    <row r="47" ht="15" customHeight="1">
      <c r="A47" s="8" t="inlineStr">
        <is>
          <t>Office/General Administrative Expenses:Leadership Team Pay:OPS Team - Basic</t>
        </is>
      </c>
      <c r="B47" s="9" t="inlineStr">
        <is>
          <t>OPS Team - Basic</t>
        </is>
      </c>
      <c r="C47" s="9" t="inlineStr">
        <is>
          <t>E</t>
        </is>
      </c>
      <c r="D47" s="10" t="n">
        <v>61118.99</v>
      </c>
      <c r="E47" s="10" t="n">
        <v>11779.55</v>
      </c>
      <c r="F47" s="10" t="n">
        <v>12032.11</v>
      </c>
      <c r="G47" s="10" t="n">
        <v>15357.32</v>
      </c>
      <c r="H47" s="10" t="n">
        <v>14044.21</v>
      </c>
      <c r="I47" s="10" t="n">
        <v>14640.15</v>
      </c>
      <c r="J47" s="10" t="n">
        <v>15409.31</v>
      </c>
      <c r="K47" s="10" t="n">
        <v>12769.29</v>
      </c>
      <c r="L47" s="10" t="n">
        <v>11111.23</v>
      </c>
      <c r="M47" s="10" t="n">
        <v>12139.79</v>
      </c>
      <c r="N47" s="10" t="n">
        <v>10917.12</v>
      </c>
      <c r="O47" s="10" t="n">
        <v>10277.49</v>
      </c>
      <c r="P47" s="10" t="n">
        <v>11593.37</v>
      </c>
      <c r="Q47" s="10" t="n">
        <v>9872.629999999999</v>
      </c>
      <c r="R47" s="10" t="n">
        <v>12363.8</v>
      </c>
      <c r="S47" s="10" t="n">
        <v>13595.44</v>
      </c>
      <c r="T47" s="10" t="n">
        <v>11428.59</v>
      </c>
      <c r="U47" s="10" t="n">
        <v>11668.9</v>
      </c>
      <c r="V47" s="10" t="n">
        <v>11286.92</v>
      </c>
      <c r="W47" s="10" t="n">
        <v>11367.44</v>
      </c>
      <c r="X47" s="10" t="n">
        <v>11782.14</v>
      </c>
      <c r="Y47" s="10" t="n">
        <v>12915.24</v>
      </c>
      <c r="Z47" s="10" t="n">
        <v>11808.97</v>
      </c>
      <c r="AA47" s="10" t="n">
        <v>12966.78</v>
      </c>
      <c r="AB47" s="10" t="n">
        <v>11805.14</v>
      </c>
      <c r="AC47" s="10" t="n">
        <v>12508.21</v>
      </c>
    </row>
    <row r="48" ht="15" customHeight="1">
      <c r="A48" s="8" t="inlineStr">
        <is>
          <t>Office/General Administrative Expenses:Leadership Team Pay:OPS Team - Other Benefits</t>
        </is>
      </c>
      <c r="B48" s="9" t="inlineStr">
        <is>
          <t>OPS Team - Other Benefits</t>
        </is>
      </c>
      <c r="C48" s="9" t="inlineStr">
        <is>
          <t>E</t>
        </is>
      </c>
      <c r="D48" s="10" t="n">
        <v>16149.28</v>
      </c>
      <c r="E48" s="10" t="n">
        <v>1490.14</v>
      </c>
      <c r="F48" s="10" t="n">
        <v>1563.68</v>
      </c>
      <c r="G48" s="10" t="n">
        <v>1827.66</v>
      </c>
      <c r="H48" s="10" t="n">
        <v>2332.16</v>
      </c>
      <c r="I48" s="10" t="n">
        <v>3929.96</v>
      </c>
      <c r="J48" s="10" t="n">
        <v>2043.02</v>
      </c>
      <c r="K48" s="10" t="n">
        <v>1038.37</v>
      </c>
      <c r="L48" s="10" t="n">
        <v>5453.48</v>
      </c>
      <c r="M48" s="10" t="n">
        <v>3421.45</v>
      </c>
      <c r="N48" s="10" t="n">
        <v>2730.7</v>
      </c>
      <c r="O48" s="10" t="n">
        <v>3818.62</v>
      </c>
      <c r="P48" s="10" t="n">
        <v>1910.73</v>
      </c>
      <c r="Q48" s="10" t="n">
        <v>2083.84</v>
      </c>
      <c r="R48" s="10" t="n">
        <v>1658.96</v>
      </c>
      <c r="S48" s="10" t="n">
        <v>946.53</v>
      </c>
      <c r="T48" s="10" t="n">
        <v>2249.35</v>
      </c>
      <c r="U48" s="10" t="n">
        <v>2621.64</v>
      </c>
      <c r="V48" s="10" t="n">
        <v>2197.01</v>
      </c>
      <c r="W48" s="10" t="n">
        <v>2255.66</v>
      </c>
      <c r="X48" s="10" t="n">
        <v>6460.81</v>
      </c>
      <c r="Y48" s="10" t="n">
        <v>3284.9</v>
      </c>
      <c r="Z48" s="10" t="n">
        <v>2781.52</v>
      </c>
      <c r="AA48" s="10" t="n">
        <v>2659.46</v>
      </c>
      <c r="AB48" s="10" t="n">
        <v>3408.61</v>
      </c>
      <c r="AC48" s="10" t="n">
        <v>1917.63</v>
      </c>
    </row>
    <row r="49" ht="15" customHeight="1">
      <c r="A49" s="8" t="inlineStr">
        <is>
          <t>Office/General Administrative Expenses:Office Supplies</t>
        </is>
      </c>
      <c r="B49" s="9" t="inlineStr">
        <is>
          <t>Office Supplies</t>
        </is>
      </c>
      <c r="C49" s="9" t="inlineStr">
        <is>
          <t>E</t>
        </is>
      </c>
      <c r="D49" s="10" t="n">
        <v>5.39</v>
      </c>
      <c r="E49" s="10" t="n">
        <v>0</v>
      </c>
      <c r="F49" s="10" t="n">
        <v>257.55</v>
      </c>
      <c r="G49" s="10" t="n">
        <v>0</v>
      </c>
      <c r="H49" s="10" t="n">
        <v>0</v>
      </c>
      <c r="I49" s="10" t="n">
        <v>0</v>
      </c>
      <c r="J49" s="10" t="n">
        <v>19.84</v>
      </c>
      <c r="K49" s="10" t="n">
        <v>149</v>
      </c>
      <c r="L49" s="10" t="n">
        <v>0</v>
      </c>
      <c r="M49" s="10" t="n">
        <v>0</v>
      </c>
      <c r="N49" s="10" t="n">
        <v>0</v>
      </c>
      <c r="O49" s="10" t="n">
        <v>0</v>
      </c>
      <c r="P49" s="10" t="n">
        <v>12.86</v>
      </c>
      <c r="Q49" s="10" t="n">
        <v>0</v>
      </c>
      <c r="R49" s="10" t="n">
        <v>55.43</v>
      </c>
      <c r="S49" s="10" t="n">
        <v>0</v>
      </c>
      <c r="T49" s="10" t="n">
        <v>0</v>
      </c>
      <c r="U49" s="10" t="n">
        <v>0</v>
      </c>
      <c r="V49" s="10" t="n">
        <v>0</v>
      </c>
      <c r="W49" s="10" t="n">
        <v>0</v>
      </c>
      <c r="X49" s="10" t="n">
        <v>0</v>
      </c>
      <c r="Y49" s="10" t="n">
        <v>0</v>
      </c>
      <c r="Z49" s="10" t="n">
        <v>0</v>
      </c>
      <c r="AA49" s="10" t="n">
        <v>0</v>
      </c>
      <c r="AB49" s="10" t="n">
        <v>0</v>
      </c>
      <c r="AC49" s="10" t="n">
        <v>0</v>
      </c>
    </row>
    <row r="50" ht="15" customHeight="1">
      <c r="A50" s="8" t="inlineStr">
        <is>
          <t>Office/General Administrative Expenses:Owner's Pay</t>
        </is>
      </c>
      <c r="B50" s="9" t="inlineStr">
        <is>
          <t>Owner's Pay</t>
        </is>
      </c>
      <c r="C50" s="9" t="inlineStr">
        <is>
          <t>E</t>
        </is>
      </c>
      <c r="D50" s="10" t="n">
        <v>17824.61</v>
      </c>
      <c r="E50" s="10" t="n">
        <v>3564.92</v>
      </c>
      <c r="F50" s="10" t="n">
        <v>3564.92</v>
      </c>
      <c r="G50" s="10" t="n">
        <v>3564.92</v>
      </c>
      <c r="H50" s="10" t="n">
        <v>3564.92</v>
      </c>
      <c r="I50" s="10" t="n">
        <v>3564.92</v>
      </c>
      <c r="J50" s="10" t="n">
        <v>3564.92</v>
      </c>
      <c r="K50" s="10" t="n">
        <v>3564.92</v>
      </c>
      <c r="L50" s="10" t="n">
        <v>3564.92</v>
      </c>
      <c r="M50" s="10" t="n">
        <v>3564.92</v>
      </c>
      <c r="N50" s="10" t="n">
        <v>3564.92</v>
      </c>
      <c r="O50" s="10" t="n">
        <v>3564.92</v>
      </c>
      <c r="P50" s="10" t="n">
        <v>3564.92</v>
      </c>
      <c r="Q50" s="10" t="n">
        <v>3564.92</v>
      </c>
      <c r="R50" s="10" t="n">
        <v>3564.92</v>
      </c>
      <c r="S50" s="10" t="n">
        <v>3564.92</v>
      </c>
      <c r="T50" s="10" t="n">
        <v>3564.92</v>
      </c>
      <c r="U50" s="10" t="n">
        <v>3564.91</v>
      </c>
      <c r="V50" s="10" t="n">
        <v>8564.92</v>
      </c>
      <c r="W50" s="10" t="n">
        <v>8564.92</v>
      </c>
      <c r="X50" s="10" t="n">
        <v>5000</v>
      </c>
      <c r="Y50" s="10" t="n">
        <v>5000</v>
      </c>
      <c r="Z50" s="10" t="n">
        <v>5000</v>
      </c>
      <c r="AA50" s="10" t="n">
        <v>5000</v>
      </c>
      <c r="AB50" s="10" t="n">
        <v>5000</v>
      </c>
      <c r="AC50" s="10" t="n">
        <v>5000</v>
      </c>
    </row>
    <row r="51" ht="15" customHeight="1">
      <c r="A51" s="8" t="inlineStr">
        <is>
          <t>Office/General Administrative Expenses:Phone &amp; Internet</t>
        </is>
      </c>
      <c r="B51" s="9" t="inlineStr">
        <is>
          <t>Phone &amp; Internet</t>
        </is>
      </c>
      <c r="C51" s="9" t="inlineStr">
        <is>
          <t>E</t>
        </is>
      </c>
      <c r="D51" s="10" t="n">
        <v>504.95</v>
      </c>
      <c r="E51" s="10" t="n">
        <v>99.98999999999999</v>
      </c>
      <c r="F51" s="10" t="n">
        <v>99.98999999999999</v>
      </c>
      <c r="G51" s="10" t="n">
        <v>99.98999999999999</v>
      </c>
      <c r="H51" s="10" t="n">
        <v>104.99</v>
      </c>
      <c r="I51" s="10" t="n">
        <v>104.99</v>
      </c>
      <c r="J51" s="10" t="n">
        <v>104.99</v>
      </c>
      <c r="K51" s="10" t="n">
        <v>104.99</v>
      </c>
      <c r="L51" s="10" t="n">
        <v>104.99</v>
      </c>
      <c r="M51" s="10" t="n">
        <v>104.99</v>
      </c>
      <c r="N51" s="10" t="n">
        <v>114.99</v>
      </c>
      <c r="O51" s="10" t="n">
        <v>114.99</v>
      </c>
      <c r="P51" s="10" t="n">
        <v>114.99</v>
      </c>
      <c r="Q51" s="10" t="n">
        <v>114.99</v>
      </c>
      <c r="R51" s="10" t="n">
        <v>114.99</v>
      </c>
      <c r="S51" s="10" t="n">
        <v>114.99</v>
      </c>
      <c r="T51" s="10" t="n">
        <v>114.99</v>
      </c>
      <c r="U51" s="10" t="n">
        <v>114.99</v>
      </c>
      <c r="V51" s="10" t="n">
        <v>114.99</v>
      </c>
      <c r="W51" s="10" t="n">
        <v>114.99</v>
      </c>
      <c r="X51" s="10" t="n">
        <v>114.99</v>
      </c>
      <c r="Y51" s="10" t="n">
        <v>114.99</v>
      </c>
      <c r="Z51" s="10" t="n">
        <v>129.99</v>
      </c>
      <c r="AA51" s="10" t="n">
        <v>129.99</v>
      </c>
      <c r="AB51" s="10" t="n">
        <v>129.99</v>
      </c>
      <c r="AC51" s="10" t="n">
        <v>129.99</v>
      </c>
    </row>
    <row r="52" ht="15" customHeight="1">
      <c r="A52" s="8" t="inlineStr">
        <is>
          <t>Office/General Administrative Expenses:Postage</t>
        </is>
      </c>
      <c r="B52" s="9" t="inlineStr">
        <is>
          <t>Postage</t>
        </is>
      </c>
      <c r="C52" s="9" t="inlineStr">
        <is>
          <t>E</t>
        </is>
      </c>
      <c r="D52" s="10" t="n">
        <v>116.07</v>
      </c>
      <c r="E52" s="10" t="n">
        <v>25.39</v>
      </c>
      <c r="F52" s="10" t="n">
        <v>14.99</v>
      </c>
      <c r="G52" s="10" t="n">
        <v>17.32</v>
      </c>
      <c r="H52" s="10" t="n">
        <v>14.99</v>
      </c>
      <c r="I52" s="10" t="n">
        <v>30.4</v>
      </c>
      <c r="J52" s="10" t="n">
        <v>34.29</v>
      </c>
      <c r="K52" s="10" t="n">
        <v>14.99</v>
      </c>
      <c r="L52" s="10" t="n">
        <v>17.32</v>
      </c>
      <c r="M52" s="10" t="n">
        <v>14.99</v>
      </c>
      <c r="N52" s="10" t="n">
        <v>30.84</v>
      </c>
      <c r="O52" s="10" t="n">
        <v>14.99</v>
      </c>
      <c r="P52" s="10" t="n">
        <v>20.94</v>
      </c>
      <c r="Q52" s="10" t="n">
        <v>17.32</v>
      </c>
      <c r="R52" s="10" t="n">
        <v>14.99</v>
      </c>
      <c r="S52" s="10" t="n">
        <v>14.99</v>
      </c>
      <c r="T52" s="10" t="n">
        <v>14.99</v>
      </c>
      <c r="U52" s="10" t="n">
        <v>27.49</v>
      </c>
      <c r="V52" s="10" t="n">
        <v>14.99</v>
      </c>
      <c r="W52" s="10" t="n">
        <v>17.38</v>
      </c>
      <c r="X52" s="10" t="n">
        <v>14.99</v>
      </c>
      <c r="Y52" s="10" t="n">
        <v>14.99</v>
      </c>
      <c r="Z52" s="10" t="n">
        <v>27.2</v>
      </c>
      <c r="AA52" s="10" t="n">
        <v>14.99</v>
      </c>
      <c r="AB52" s="10" t="n">
        <v>14.99</v>
      </c>
      <c r="AC52" s="10" t="n">
        <v>22.18</v>
      </c>
    </row>
    <row r="53" ht="15" customHeight="1">
      <c r="A53" s="8" t="inlineStr">
        <is>
          <t>Office/General Administrative Expenses:Retirement Expense</t>
        </is>
      </c>
      <c r="B53" s="9" t="inlineStr">
        <is>
          <t>Retirement Expense</t>
        </is>
      </c>
      <c r="C53" s="9" t="inlineStr">
        <is>
          <t>E</t>
        </is>
      </c>
      <c r="D53" s="10" t="n">
        <v>644.9400000000001</v>
      </c>
      <c r="E53" s="10" t="n">
        <v>214.98</v>
      </c>
      <c r="F53" s="10" t="n">
        <v>192.48</v>
      </c>
      <c r="G53" s="10" t="n">
        <v>169.98</v>
      </c>
      <c r="H53" s="10" t="n">
        <v>169.98</v>
      </c>
      <c r="I53" s="10" t="n">
        <v>169.98</v>
      </c>
      <c r="J53" s="10" t="n">
        <v>169.98</v>
      </c>
      <c r="K53" s="10" t="n">
        <v>169.98</v>
      </c>
      <c r="L53" s="10" t="n">
        <v>169.98</v>
      </c>
      <c r="M53" s="10" t="n">
        <v>169.98</v>
      </c>
      <c r="N53" s="10" t="n">
        <v>169.98</v>
      </c>
      <c r="O53" s="10" t="n">
        <v>169.98</v>
      </c>
      <c r="P53" s="10" t="n">
        <v>169.98</v>
      </c>
      <c r="Q53" s="10" t="n">
        <v>169.98</v>
      </c>
      <c r="R53" s="10" t="n">
        <v>169.98</v>
      </c>
      <c r="S53" s="10" t="n">
        <v>169.98</v>
      </c>
      <c r="T53" s="10" t="n">
        <v>169.98</v>
      </c>
      <c r="U53" s="10" t="n">
        <v>169.98</v>
      </c>
      <c r="V53" s="10" t="n">
        <v>319.98</v>
      </c>
      <c r="W53" s="10" t="n">
        <v>319.98</v>
      </c>
      <c r="X53" s="10" t="n">
        <v>213.04</v>
      </c>
      <c r="Y53" s="10" t="n">
        <v>213.04</v>
      </c>
      <c r="Z53" s="10" t="n">
        <v>213.04</v>
      </c>
      <c r="AA53" s="10" t="n">
        <v>213.04</v>
      </c>
      <c r="AB53" s="10" t="n">
        <v>213.04</v>
      </c>
      <c r="AC53" s="10" t="n">
        <v>213.04</v>
      </c>
    </row>
    <row r="54" ht="15" customHeight="1">
      <c r="A54" s="8" t="inlineStr">
        <is>
          <t>Office/General Administrative Expenses:Salaries and Wages</t>
        </is>
      </c>
      <c r="B54" s="9" t="inlineStr">
        <is>
          <t>Salaries and Wages</t>
        </is>
      </c>
      <c r="C54" s="9" t="inlineStr">
        <is>
          <t>E</t>
        </is>
      </c>
      <c r="D54" s="10" t="n">
        <v>18007.89</v>
      </c>
      <c r="E54" s="10" t="n">
        <v>3601.58</v>
      </c>
      <c r="F54" s="10" t="n">
        <v>2851.58</v>
      </c>
      <c r="G54" s="10" t="n">
        <v>2101.58</v>
      </c>
      <c r="H54" s="10" t="n">
        <v>2101.58</v>
      </c>
      <c r="I54" s="10" t="n">
        <v>2101.58</v>
      </c>
      <c r="J54" s="10" t="n">
        <v>2101.58</v>
      </c>
      <c r="K54" s="10" t="n">
        <v>2101.58</v>
      </c>
      <c r="L54" s="10" t="n">
        <v>2101.58</v>
      </c>
      <c r="M54" s="10" t="n">
        <v>2101.58</v>
      </c>
      <c r="N54" s="10" t="n">
        <v>2101.58</v>
      </c>
      <c r="O54" s="10" t="n">
        <v>2101.58</v>
      </c>
      <c r="P54" s="10" t="n">
        <v>2101.58</v>
      </c>
      <c r="Q54" s="10" t="n">
        <v>2101.58</v>
      </c>
      <c r="R54" s="10" t="n">
        <v>2101.58</v>
      </c>
      <c r="S54" s="10" t="n">
        <v>2101.58</v>
      </c>
      <c r="T54" s="10" t="n">
        <v>2101.58</v>
      </c>
      <c r="U54" s="10" t="n">
        <v>2101.59</v>
      </c>
      <c r="V54" s="10" t="n">
        <v>2101.58</v>
      </c>
      <c r="W54" s="10" t="n">
        <v>2101.58</v>
      </c>
      <c r="X54" s="10" t="n">
        <v>2101.58</v>
      </c>
      <c r="Y54" s="10" t="n">
        <v>2101.58</v>
      </c>
      <c r="Z54" s="10" t="n">
        <v>2101.58</v>
      </c>
      <c r="AA54" s="10" t="n">
        <v>2101.58</v>
      </c>
      <c r="AB54" s="10" t="n">
        <v>2101.58</v>
      </c>
      <c r="AC54" s="10" t="n">
        <v>2101.58</v>
      </c>
    </row>
    <row r="55" ht="15" customHeight="1">
      <c r="A55" s="8" t="inlineStr">
        <is>
          <t>Office/General Administrative Expenses:Smart VA Academy:Advertising &amp; Marketing</t>
        </is>
      </c>
      <c r="B55" s="9" t="inlineStr">
        <is>
          <t>Advertising &amp; Marketing</t>
        </is>
      </c>
      <c r="C55" s="9" t="inlineStr">
        <is>
          <t>E</t>
        </is>
      </c>
      <c r="D55" s="10" t="n">
        <v>97.84999999999999</v>
      </c>
      <c r="E55" s="10" t="n">
        <v>32.79</v>
      </c>
      <c r="F55" s="10" t="n">
        <v>9.23</v>
      </c>
      <c r="G55" s="10" t="n">
        <v>0</v>
      </c>
      <c r="H55" s="10" t="n">
        <v>0</v>
      </c>
      <c r="I55" s="10" t="n">
        <v>0</v>
      </c>
      <c r="J55" s="10" t="n">
        <v>0</v>
      </c>
      <c r="K55" s="10" t="n">
        <v>0</v>
      </c>
      <c r="L55" s="10" t="n">
        <v>0</v>
      </c>
      <c r="M55" s="10" t="n">
        <v>0</v>
      </c>
      <c r="N55" s="10" t="n">
        <v>0</v>
      </c>
      <c r="O55" s="10" t="n">
        <v>0</v>
      </c>
      <c r="P55" s="10" t="n">
        <v>0</v>
      </c>
      <c r="Q55" s="10" t="n">
        <v>0</v>
      </c>
      <c r="R55" s="10" t="n">
        <v>0</v>
      </c>
      <c r="S55" s="10" t="n">
        <v>0</v>
      </c>
      <c r="T55" s="10" t="n">
        <v>0</v>
      </c>
      <c r="U55" s="10" t="n">
        <v>0</v>
      </c>
      <c r="V55" s="10" t="n">
        <v>0</v>
      </c>
      <c r="W55" s="10" t="n">
        <v>0</v>
      </c>
      <c r="X55" s="10" t="n">
        <v>0</v>
      </c>
      <c r="Y55" s="10" t="n">
        <v>0</v>
      </c>
      <c r="Z55" s="10" t="n">
        <v>0</v>
      </c>
      <c r="AA55" s="10" t="n">
        <v>0</v>
      </c>
      <c r="AB55" s="10" t="n">
        <v>0</v>
      </c>
      <c r="AC55" s="10" t="n">
        <v>0</v>
      </c>
    </row>
    <row r="56" ht="15" customHeight="1">
      <c r="A56" s="8" t="inlineStr">
        <is>
          <t>Office/General Administrative Expenses:Smart VA Academy:Meals</t>
        </is>
      </c>
      <c r="B56" s="9" t="inlineStr">
        <is>
          <t>Meals</t>
        </is>
      </c>
      <c r="C56" s="9" t="inlineStr">
        <is>
          <t>E</t>
        </is>
      </c>
      <c r="D56" s="10" t="n">
        <v>18.04</v>
      </c>
      <c r="E56" s="10" t="n">
        <v>0</v>
      </c>
      <c r="F56" s="10" t="n">
        <v>0</v>
      </c>
      <c r="G56" s="10" t="n">
        <v>0</v>
      </c>
      <c r="H56" s="10" t="n">
        <v>0</v>
      </c>
      <c r="I56" s="10" t="n">
        <v>0</v>
      </c>
      <c r="J56" s="10" t="n">
        <v>0</v>
      </c>
      <c r="K56" s="10" t="n">
        <v>0</v>
      </c>
      <c r="L56" s="10" t="n">
        <v>0</v>
      </c>
      <c r="M56" s="10" t="n">
        <v>0</v>
      </c>
      <c r="N56" s="10" t="n">
        <v>0</v>
      </c>
      <c r="O56" s="10" t="n">
        <v>0</v>
      </c>
      <c r="P56" s="10" t="n">
        <v>0</v>
      </c>
      <c r="Q56" s="10" t="n">
        <v>0</v>
      </c>
      <c r="R56" s="10" t="n">
        <v>0</v>
      </c>
      <c r="S56" s="10" t="n">
        <v>0</v>
      </c>
      <c r="T56" s="10" t="n">
        <v>0</v>
      </c>
      <c r="U56" s="10" t="n">
        <v>0</v>
      </c>
      <c r="V56" s="10" t="n">
        <v>0</v>
      </c>
      <c r="W56" s="10" t="n">
        <v>0</v>
      </c>
      <c r="X56" s="10" t="n">
        <v>0</v>
      </c>
      <c r="Y56" s="10" t="n">
        <v>0</v>
      </c>
      <c r="Z56" s="10" t="n">
        <v>0</v>
      </c>
      <c r="AA56" s="10" t="n">
        <v>0</v>
      </c>
      <c r="AB56" s="10" t="n">
        <v>0</v>
      </c>
      <c r="AC56" s="10" t="n">
        <v>0</v>
      </c>
    </row>
    <row r="57" ht="15" customHeight="1">
      <c r="A57" s="8" t="inlineStr">
        <is>
          <t>Office/General Administrative Expenses:Smart VA Academy:Smart VAs Academy - Transfer Fees</t>
        </is>
      </c>
      <c r="B57" s="9" t="inlineStr">
        <is>
          <t>Academy Transfer Fees</t>
        </is>
      </c>
      <c r="C57" s="9" t="inlineStr">
        <is>
          <t>E</t>
        </is>
      </c>
      <c r="D57" s="10" t="n">
        <v>0.6</v>
      </c>
      <c r="E57" s="10" t="n">
        <v>0.67</v>
      </c>
      <c r="F57" s="10" t="n">
        <v>0.67</v>
      </c>
      <c r="G57" s="10" t="n">
        <v>0.67</v>
      </c>
      <c r="H57" s="10" t="n">
        <v>0</v>
      </c>
      <c r="I57" s="10" t="n">
        <v>5.18</v>
      </c>
      <c r="J57" s="10" t="n">
        <v>2.12</v>
      </c>
      <c r="K57" s="10" t="n">
        <v>2.24</v>
      </c>
      <c r="L57" s="10" t="n">
        <v>1.57</v>
      </c>
      <c r="M57" s="10" t="n">
        <v>5.64</v>
      </c>
      <c r="N57" s="10" t="n">
        <v>0</v>
      </c>
      <c r="O57" s="10" t="n">
        <v>3.64</v>
      </c>
      <c r="P57" s="10" t="n">
        <v>3.55</v>
      </c>
      <c r="Q57" s="10" t="n">
        <v>5.46</v>
      </c>
      <c r="R57" s="10" t="n">
        <v>2.97</v>
      </c>
      <c r="S57" s="10" t="n">
        <v>5.69</v>
      </c>
      <c r="T57" s="10" t="n">
        <v>0.68</v>
      </c>
      <c r="U57" s="10" t="n">
        <v>5.93</v>
      </c>
      <c r="V57" s="10" t="n">
        <v>0.67</v>
      </c>
      <c r="W57" s="10" t="n">
        <v>0.67</v>
      </c>
      <c r="X57" s="10" t="n">
        <v>0.67</v>
      </c>
      <c r="Y57" s="10" t="n">
        <v>0</v>
      </c>
      <c r="Z57" s="10" t="n">
        <v>1.17</v>
      </c>
      <c r="AA57" s="10" t="n">
        <v>0</v>
      </c>
      <c r="AB57" s="10" t="n">
        <v>0</v>
      </c>
      <c r="AC57" s="10" t="n">
        <v>0</v>
      </c>
    </row>
    <row r="58" ht="15" customHeight="1">
      <c r="A58" s="8" t="inlineStr">
        <is>
          <t>Office/General Administrative Expenses:Smart VA Academy:Software and Subscriptions</t>
        </is>
      </c>
      <c r="B58" s="9" t="inlineStr">
        <is>
          <t>Softwares</t>
        </is>
      </c>
      <c r="C58" s="9" t="inlineStr">
        <is>
          <t>E</t>
        </is>
      </c>
      <c r="D58" s="10" t="n">
        <v>246.48</v>
      </c>
      <c r="E58" s="10" t="n">
        <v>0</v>
      </c>
      <c r="F58" s="10" t="n">
        <v>8.619999999999999</v>
      </c>
      <c r="G58" s="10" t="n">
        <v>8.94</v>
      </c>
      <c r="H58" s="10" t="n">
        <v>9.01</v>
      </c>
      <c r="I58" s="10" t="n">
        <v>0</v>
      </c>
      <c r="J58" s="10" t="n">
        <v>17.21</v>
      </c>
      <c r="K58" s="10" t="n">
        <v>8.57</v>
      </c>
      <c r="L58" s="10" t="n">
        <v>8.58</v>
      </c>
      <c r="M58" s="10" t="n">
        <v>8.699999999999999</v>
      </c>
      <c r="N58" s="10" t="n">
        <v>0</v>
      </c>
      <c r="O58" s="10" t="n">
        <v>17.82</v>
      </c>
      <c r="P58" s="10" t="n">
        <v>9.050000000000001</v>
      </c>
      <c r="Q58" s="10" t="n">
        <v>9.02</v>
      </c>
      <c r="R58" s="10" t="n">
        <v>8.890000000000001</v>
      </c>
      <c r="S58" s="10" t="n">
        <v>0</v>
      </c>
      <c r="T58" s="10" t="n">
        <v>0</v>
      </c>
      <c r="U58" s="10" t="n">
        <v>17.35</v>
      </c>
      <c r="V58" s="10" t="n">
        <v>0</v>
      </c>
      <c r="W58" s="10" t="n">
        <v>0</v>
      </c>
      <c r="X58" s="10" t="n">
        <v>0</v>
      </c>
      <c r="Y58" s="10" t="n">
        <v>0</v>
      </c>
      <c r="Z58" s="10" t="n">
        <v>0</v>
      </c>
      <c r="AA58" s="10" t="n">
        <v>0</v>
      </c>
      <c r="AB58" s="10" t="n">
        <v>0</v>
      </c>
      <c r="AC58" s="10" t="n">
        <v>0</v>
      </c>
    </row>
    <row r="59" ht="15" customHeight="1">
      <c r="A59" s="8" t="inlineStr">
        <is>
          <t>Office/General Administrative Expenses:Smart VA Academy:VA Pay - Smart VA Academy</t>
        </is>
      </c>
      <c r="B59" s="9" t="inlineStr">
        <is>
          <t>VA Pay - Smart VA Academy</t>
        </is>
      </c>
      <c r="C59" s="9" t="inlineStr">
        <is>
          <t>E</t>
        </is>
      </c>
      <c r="D59" s="10" t="n">
        <v>1323.46</v>
      </c>
      <c r="E59" s="10" t="n">
        <v>590.05</v>
      </c>
      <c r="F59" s="10" t="n">
        <v>437.05</v>
      </c>
      <c r="G59" s="10" t="n">
        <v>565.24</v>
      </c>
      <c r="H59" s="10" t="n">
        <v>481.09</v>
      </c>
      <c r="I59" s="10" t="n">
        <v>396.1</v>
      </c>
      <c r="J59" s="10" t="n">
        <v>529.38</v>
      </c>
      <c r="K59" s="10" t="n">
        <v>441.61</v>
      </c>
      <c r="L59" s="10" t="n">
        <v>37.38</v>
      </c>
      <c r="M59" s="10" t="n">
        <v>336.95</v>
      </c>
      <c r="N59" s="10" t="n">
        <v>137.89</v>
      </c>
      <c r="O59" s="10" t="n">
        <v>217.37</v>
      </c>
      <c r="P59" s="10" t="n">
        <v>373.36</v>
      </c>
      <c r="Q59" s="10" t="n">
        <v>366.36</v>
      </c>
      <c r="R59" s="10" t="n">
        <v>332.1</v>
      </c>
      <c r="S59" s="10" t="n">
        <v>227.73</v>
      </c>
      <c r="T59" s="10" t="n">
        <v>358.54</v>
      </c>
      <c r="U59" s="10" t="n">
        <v>181.9</v>
      </c>
      <c r="V59" s="10" t="n">
        <v>194.92</v>
      </c>
      <c r="W59" s="10" t="n">
        <v>65.27</v>
      </c>
      <c r="X59" s="10" t="n">
        <v>87.13</v>
      </c>
      <c r="Y59" s="10" t="n">
        <v>158.24</v>
      </c>
      <c r="Z59" s="10" t="n">
        <v>62.3</v>
      </c>
      <c r="AA59" s="10" t="n">
        <v>106.41</v>
      </c>
      <c r="AB59" s="10" t="n">
        <v>2.48</v>
      </c>
      <c r="AC59" s="10" t="n">
        <v>0</v>
      </c>
    </row>
    <row r="60" ht="15" customHeight="1">
      <c r="A60" s="8" t="inlineStr">
        <is>
          <t>Office/General Administrative Expenses:Softwares</t>
        </is>
      </c>
      <c r="B60" s="9" t="inlineStr">
        <is>
          <t>Softwares</t>
        </is>
      </c>
      <c r="C60" s="9" t="inlineStr">
        <is>
          <t>E</t>
        </is>
      </c>
      <c r="D60" s="10" t="n">
        <v>13792.12</v>
      </c>
      <c r="E60" s="10" t="n">
        <v>2402.06</v>
      </c>
      <c r="F60" s="10" t="n">
        <v>2615.9</v>
      </c>
      <c r="G60" s="10" t="n">
        <v>2299.88</v>
      </c>
      <c r="H60" s="10" t="n">
        <v>3021.71</v>
      </c>
      <c r="I60" s="10" t="n">
        <v>5964.57</v>
      </c>
      <c r="J60" s="10" t="n">
        <v>4046.31</v>
      </c>
      <c r="K60" s="10" t="n">
        <v>4057.2</v>
      </c>
      <c r="L60" s="10" t="n">
        <v>4126.97</v>
      </c>
      <c r="M60" s="10" t="n">
        <v>4196.22</v>
      </c>
      <c r="N60" s="10" t="n">
        <v>2583.92</v>
      </c>
      <c r="O60" s="10" t="n">
        <v>2805.19</v>
      </c>
      <c r="P60" s="10" t="n">
        <v>2493.75</v>
      </c>
      <c r="Q60" s="10" t="n">
        <v>2606.97</v>
      </c>
      <c r="R60" s="10" t="n">
        <v>2424.59</v>
      </c>
      <c r="S60" s="10" t="n">
        <v>2510.1</v>
      </c>
      <c r="T60" s="10" t="n">
        <v>4551.99</v>
      </c>
      <c r="U60" s="10" t="n">
        <v>6252.86</v>
      </c>
      <c r="V60" s="10" t="n">
        <v>2649.38</v>
      </c>
      <c r="W60" s="10" t="n">
        <v>2730.43</v>
      </c>
      <c r="X60" s="10" t="n">
        <v>4149.82</v>
      </c>
      <c r="Y60" s="10" t="n">
        <v>2813.77</v>
      </c>
      <c r="Z60" s="10" t="n">
        <v>2117.83</v>
      </c>
      <c r="AA60" s="10" t="n">
        <v>2940.96</v>
      </c>
      <c r="AB60" s="10" t="n">
        <v>2550.81</v>
      </c>
      <c r="AC60" s="10" t="n">
        <v>2514.33</v>
      </c>
    </row>
    <row r="61" ht="15" customHeight="1">
      <c r="A61" s="8" t="inlineStr">
        <is>
          <t>Office/General Administrative Expenses:Training and Development</t>
        </is>
      </c>
      <c r="B61" s="9" t="inlineStr">
        <is>
          <t>Training and Development</t>
        </is>
      </c>
      <c r="C61" s="9" t="inlineStr">
        <is>
          <t>E</t>
        </is>
      </c>
      <c r="D61" s="10" t="n">
        <v>315</v>
      </c>
      <c r="E61" s="10" t="n">
        <v>52.26</v>
      </c>
      <c r="F61" s="10" t="n">
        <v>442</v>
      </c>
      <c r="G61" s="10" t="n">
        <v>463</v>
      </c>
      <c r="H61" s="10" t="n">
        <v>49.57</v>
      </c>
      <c r="I61" s="10" t="n">
        <v>47</v>
      </c>
      <c r="J61" s="10" t="n">
        <v>47</v>
      </c>
      <c r="K61" s="10" t="n">
        <v>47</v>
      </c>
      <c r="L61" s="10" t="n">
        <v>74.64</v>
      </c>
      <c r="M61" s="10" t="n">
        <v>27</v>
      </c>
      <c r="N61" s="10" t="n">
        <v>0</v>
      </c>
      <c r="O61" s="10" t="n">
        <v>0</v>
      </c>
      <c r="P61" s="10" t="n">
        <v>0</v>
      </c>
      <c r="Q61" s="10" t="n">
        <v>0</v>
      </c>
      <c r="R61" s="10" t="n">
        <v>0</v>
      </c>
      <c r="S61" s="10" t="n">
        <v>89.17</v>
      </c>
      <c r="T61" s="10" t="n">
        <v>0</v>
      </c>
      <c r="U61" s="10" t="n">
        <v>1145</v>
      </c>
      <c r="V61" s="10" t="n">
        <v>0</v>
      </c>
      <c r="W61" s="10" t="n">
        <v>500</v>
      </c>
      <c r="X61" s="10" t="n">
        <v>0</v>
      </c>
      <c r="Y61" s="10" t="n">
        <v>107.25</v>
      </c>
      <c r="Z61" s="10" t="n">
        <v>0</v>
      </c>
      <c r="AA61" s="10" t="n">
        <v>0</v>
      </c>
      <c r="AB61" s="10" t="n">
        <v>0</v>
      </c>
      <c r="AC61" s="10" t="n">
        <v>0</v>
      </c>
    </row>
    <row r="62" ht="15" customHeight="1">
      <c r="A62" s="8" t="inlineStr">
        <is>
          <t>Office/General Administrative Expenses:Travel</t>
        </is>
      </c>
      <c r="B62" s="9" t="inlineStr">
        <is>
          <t>Travel</t>
        </is>
      </c>
      <c r="C62" s="9" t="inlineStr">
        <is>
          <t>E</t>
        </is>
      </c>
      <c r="D62" s="10" t="n">
        <v>3374.9</v>
      </c>
      <c r="E62" s="10" t="n">
        <v>415.49</v>
      </c>
      <c r="F62" s="10" t="n">
        <v>415.46</v>
      </c>
      <c r="G62" s="10" t="n">
        <v>0</v>
      </c>
      <c r="H62" s="10" t="n">
        <v>0</v>
      </c>
      <c r="I62" s="10" t="n">
        <v>0</v>
      </c>
      <c r="J62" s="10" t="n">
        <v>0</v>
      </c>
      <c r="K62" s="10" t="n">
        <v>966.45</v>
      </c>
      <c r="L62" s="10" t="n">
        <v>571.53</v>
      </c>
      <c r="M62" s="10" t="n">
        <v>571.53</v>
      </c>
      <c r="N62" s="10" t="n">
        <v>1726.64</v>
      </c>
      <c r="O62" s="10" t="n">
        <v>-442.91</v>
      </c>
      <c r="P62" s="10" t="n">
        <v>571</v>
      </c>
      <c r="Q62" s="10" t="n">
        <v>0</v>
      </c>
      <c r="R62" s="10" t="n">
        <v>0</v>
      </c>
      <c r="S62" s="10" t="n">
        <v>0</v>
      </c>
      <c r="T62" s="10" t="n">
        <v>0</v>
      </c>
      <c r="U62" s="10" t="n">
        <v>0</v>
      </c>
      <c r="V62" s="10" t="n">
        <v>0</v>
      </c>
      <c r="W62" s="10" t="n">
        <v>0</v>
      </c>
      <c r="X62" s="10" t="n">
        <v>582.28</v>
      </c>
      <c r="Y62" s="10" t="n">
        <v>0</v>
      </c>
      <c r="Z62" s="10" t="n">
        <v>0</v>
      </c>
      <c r="AA62" s="10" t="n">
        <v>0</v>
      </c>
      <c r="AB62" s="10" t="n">
        <v>0</v>
      </c>
      <c r="AC62" s="10" t="n">
        <v>1191.54</v>
      </c>
    </row>
    <row r="63" ht="15" customHeight="1">
      <c r="A63" s="8" t="inlineStr">
        <is>
          <t>Ohio Department of Taxation Payable</t>
        </is>
      </c>
      <c r="B63" s="9" t="inlineStr">
        <is>
          <t>Ohio Dept. of Taxation Payable</t>
        </is>
      </c>
      <c r="C63" s="9" t="inlineStr">
        <is>
          <t>L</t>
        </is>
      </c>
      <c r="D63" s="10" t="n">
        <v>0</v>
      </c>
      <c r="E63" s="10" t="n">
        <v>0</v>
      </c>
      <c r="F63" s="10" t="n">
        <v>0</v>
      </c>
      <c r="G63" s="10" t="n">
        <v>0</v>
      </c>
      <c r="H63" s="10" t="n">
        <v>0</v>
      </c>
      <c r="I63" s="10" t="n">
        <v>0</v>
      </c>
      <c r="J63" s="10" t="n">
        <v>0</v>
      </c>
      <c r="K63" s="10" t="n">
        <v>0</v>
      </c>
      <c r="L63" s="10" t="n">
        <v>0</v>
      </c>
      <c r="M63" s="10" t="n">
        <v>0</v>
      </c>
      <c r="N63" s="10" t="n">
        <v>0</v>
      </c>
      <c r="O63" s="10" t="n">
        <v>0</v>
      </c>
      <c r="P63" s="10" t="n">
        <v>0</v>
      </c>
      <c r="Q63" s="10" t="n">
        <v>0</v>
      </c>
      <c r="R63" s="10" t="n">
        <v>0</v>
      </c>
      <c r="S63" s="10" t="n">
        <v>0</v>
      </c>
      <c r="T63" s="10" t="n">
        <v>0</v>
      </c>
      <c r="U63" s="10" t="n">
        <v>0</v>
      </c>
      <c r="V63" s="10" t="n">
        <v>0</v>
      </c>
      <c r="W63" s="10" t="n">
        <v>0</v>
      </c>
      <c r="X63" s="10" t="n">
        <v>0</v>
      </c>
      <c r="Y63" s="10" t="n">
        <v>0</v>
      </c>
      <c r="Z63" s="10" t="n">
        <v>0</v>
      </c>
      <c r="AA63" s="10" t="n">
        <v>0</v>
      </c>
      <c r="AB63" s="10" t="n">
        <v>0</v>
      </c>
      <c r="AC63" s="10" t="n">
        <v>0</v>
      </c>
    </row>
    <row r="64" ht="15" customHeight="1">
      <c r="A64" s="8" t="inlineStr">
        <is>
          <t>One Bag, One Love Fund</t>
        </is>
      </c>
      <c r="B64" s="9" t="inlineStr">
        <is>
          <t>One Bag, One Love Fund</t>
        </is>
      </c>
      <c r="C64" s="9" t="inlineStr">
        <is>
          <t>L</t>
        </is>
      </c>
      <c r="D64" s="10" t="n">
        <v>-61.8</v>
      </c>
      <c r="E64" s="10" t="n">
        <v>0</v>
      </c>
      <c r="F64" s="10" t="n">
        <v>0</v>
      </c>
      <c r="G64" s="10" t="n">
        <v>0</v>
      </c>
      <c r="H64" s="10" t="n">
        <v>0</v>
      </c>
      <c r="I64" s="10" t="n">
        <v>0</v>
      </c>
      <c r="J64" s="10" t="n">
        <v>0</v>
      </c>
      <c r="K64" s="10" t="n">
        <v>-61.8</v>
      </c>
      <c r="L64" s="10" t="n">
        <v>0</v>
      </c>
      <c r="M64" s="10" t="n">
        <v>0</v>
      </c>
      <c r="N64" s="10" t="n">
        <v>0</v>
      </c>
      <c r="O64" s="10" t="n">
        <v>0</v>
      </c>
      <c r="P64" s="10" t="n">
        <v>0</v>
      </c>
      <c r="Q64" s="10" t="n">
        <v>0</v>
      </c>
      <c r="R64" s="10" t="n">
        <v>0</v>
      </c>
      <c r="S64" s="10" t="n">
        <v>0</v>
      </c>
      <c r="T64" s="10" t="n">
        <v>0</v>
      </c>
      <c r="U64" s="10" t="n">
        <v>0</v>
      </c>
      <c r="V64" s="10" t="n">
        <v>0</v>
      </c>
      <c r="W64" s="10" t="n">
        <v>0</v>
      </c>
      <c r="X64" s="10" t="n">
        <v>0</v>
      </c>
      <c r="Y64" s="10" t="n">
        <v>0</v>
      </c>
      <c r="Z64" s="10" t="n">
        <v>0</v>
      </c>
      <c r="AA64" s="10" t="n">
        <v>0</v>
      </c>
      <c r="AB64" s="10" t="n">
        <v>0</v>
      </c>
      <c r="AC64" s="10" t="n">
        <v>0</v>
      </c>
    </row>
    <row r="65" ht="15" customHeight="1">
      <c r="A65" s="8" t="inlineStr">
        <is>
          <t>Other Miscellaneous Income</t>
        </is>
      </c>
      <c r="B65" s="9" t="inlineStr">
        <is>
          <t>Other Miscellaneous Income</t>
        </is>
      </c>
      <c r="C65" s="9" t="inlineStr">
        <is>
          <t>R</t>
        </is>
      </c>
      <c r="D65" s="10" t="n">
        <v>0</v>
      </c>
      <c r="E65" s="10" t="n">
        <v>0</v>
      </c>
      <c r="F65" s="10" t="n">
        <v>0</v>
      </c>
      <c r="G65" s="10" t="n">
        <v>0</v>
      </c>
      <c r="H65" s="10" t="n">
        <v>0</v>
      </c>
      <c r="I65" s="10" t="n">
        <v>0</v>
      </c>
      <c r="J65" s="10" t="n">
        <v>0</v>
      </c>
      <c r="K65" s="10" t="n">
        <v>0</v>
      </c>
      <c r="L65" s="10" t="n">
        <v>0</v>
      </c>
      <c r="M65" s="10" t="n">
        <v>0</v>
      </c>
      <c r="N65" s="10" t="n">
        <v>0</v>
      </c>
      <c r="O65" s="10" t="n">
        <v>0</v>
      </c>
      <c r="P65" s="10" t="n">
        <v>-135.82</v>
      </c>
      <c r="Q65" s="10" t="n">
        <v>0</v>
      </c>
      <c r="R65" s="10" t="n">
        <v>0</v>
      </c>
      <c r="S65" s="10" t="n">
        <v>0</v>
      </c>
      <c r="T65" s="10" t="n">
        <v>0</v>
      </c>
      <c r="U65" s="10" t="n">
        <v>0</v>
      </c>
      <c r="V65" s="10" t="n">
        <v>0</v>
      </c>
      <c r="W65" s="10" t="n">
        <v>0</v>
      </c>
      <c r="X65" s="10" t="n">
        <v>0</v>
      </c>
      <c r="Y65" s="10" t="n">
        <v>0</v>
      </c>
      <c r="Z65" s="10" t="n">
        <v>0</v>
      </c>
      <c r="AA65" s="10" t="n">
        <v>0</v>
      </c>
      <c r="AB65" s="10" t="n">
        <v>0</v>
      </c>
      <c r="AC65" s="10" t="n">
        <v>0</v>
      </c>
    </row>
    <row r="66" ht="15" customHeight="1">
      <c r="A66" s="8" t="inlineStr">
        <is>
          <t>Other Receivables</t>
        </is>
      </c>
      <c r="B66" s="9" t="inlineStr">
        <is>
          <t>Other Receivables</t>
        </is>
      </c>
      <c r="C66" s="9" t="inlineStr">
        <is>
          <t>A</t>
        </is>
      </c>
      <c r="D66" s="10" t="n">
        <v>0</v>
      </c>
      <c r="E66" s="10" t="n">
        <v>0</v>
      </c>
      <c r="F66" s="10" t="n">
        <v>3917.33</v>
      </c>
      <c r="G66" s="10" t="n">
        <v>-3917.33</v>
      </c>
      <c r="H66" s="10" t="n">
        <v>0</v>
      </c>
      <c r="I66" s="10" t="n">
        <v>0</v>
      </c>
      <c r="J66" s="10" t="n">
        <v>987.55</v>
      </c>
      <c r="K66" s="10" t="n">
        <v>-987.55</v>
      </c>
      <c r="L66" s="10" t="n">
        <v>0</v>
      </c>
      <c r="M66" s="10" t="n">
        <v>0</v>
      </c>
      <c r="N66" s="10" t="n">
        <v>0</v>
      </c>
      <c r="O66" s="10" t="n">
        <v>0</v>
      </c>
      <c r="P66" s="10" t="n">
        <v>0</v>
      </c>
      <c r="Q66" s="10" t="n">
        <v>0</v>
      </c>
      <c r="R66" s="10" t="n">
        <v>0</v>
      </c>
      <c r="S66" s="10" t="n">
        <v>0</v>
      </c>
      <c r="T66" s="10" t="n">
        <v>0</v>
      </c>
      <c r="U66" s="10" t="n">
        <v>0</v>
      </c>
      <c r="V66" s="10" t="n">
        <v>0</v>
      </c>
      <c r="W66" s="10" t="n">
        <v>0</v>
      </c>
      <c r="X66" s="10" t="n">
        <v>0</v>
      </c>
      <c r="Y66" s="10" t="n">
        <v>0</v>
      </c>
      <c r="Z66" s="10" t="n">
        <v>0</v>
      </c>
      <c r="AA66" s="10" t="n">
        <v>0</v>
      </c>
      <c r="AB66" s="10" t="n">
        <v>0</v>
      </c>
      <c r="AC66" s="10" t="n">
        <v>0</v>
      </c>
    </row>
    <row r="67" ht="15" customHeight="1">
      <c r="A67" s="8" t="inlineStr">
        <is>
          <t>Owner's Pay &amp; Personal Expenses</t>
        </is>
      </c>
      <c r="B67" s="9" t="inlineStr">
        <is>
          <t>Owner's Pay &amp; Personal Expenses</t>
        </is>
      </c>
      <c r="C67" s="9" t="inlineStr">
        <is>
          <t>EQ</t>
        </is>
      </c>
      <c r="D67" s="10" t="n">
        <v>26268.43</v>
      </c>
      <c r="E67" s="10" t="n">
        <v>4950.05</v>
      </c>
      <c r="F67" s="10" t="n">
        <v>4772.33</v>
      </c>
      <c r="G67" s="10" t="n">
        <v>5148.28</v>
      </c>
      <c r="H67" s="10" t="n">
        <v>4873.07</v>
      </c>
      <c r="I67" s="10" t="n">
        <v>4893.02</v>
      </c>
      <c r="J67" s="10" t="n">
        <v>7851.01</v>
      </c>
      <c r="K67" s="10" t="n">
        <v>-7270.36</v>
      </c>
      <c r="L67" s="10" t="n">
        <v>-50540.34</v>
      </c>
      <c r="M67" s="10" t="n">
        <v>2525.67</v>
      </c>
      <c r="N67" s="10" t="n">
        <v>3653.12</v>
      </c>
      <c r="O67" s="10" t="n">
        <v>8437.77</v>
      </c>
      <c r="P67" s="10" t="n">
        <v>4762.58</v>
      </c>
      <c r="Q67" s="10" t="n">
        <v>7067.38</v>
      </c>
      <c r="R67" s="10" t="n">
        <v>6913.57</v>
      </c>
      <c r="S67" s="10" t="n">
        <v>8453.65</v>
      </c>
      <c r="T67" s="10" t="n">
        <v>5827.82</v>
      </c>
      <c r="U67" s="10" t="n">
        <v>8276.6</v>
      </c>
      <c r="V67" s="10" t="n">
        <v>14528.61</v>
      </c>
      <c r="W67" s="10" t="n">
        <v>2372.85</v>
      </c>
      <c r="X67" s="10" t="n">
        <v>-69037.83</v>
      </c>
      <c r="Y67" s="10" t="n">
        <v>8501.110000000001</v>
      </c>
      <c r="Z67" s="10" t="n">
        <v>8512.940000000001</v>
      </c>
      <c r="AA67" s="10" t="n">
        <v>5085.89</v>
      </c>
      <c r="AB67" s="10" t="n">
        <v>9476.4</v>
      </c>
      <c r="AC67" s="10" t="n">
        <v>10829.98</v>
      </c>
    </row>
    <row r="68" ht="15" customHeight="1">
      <c r="A68" s="8" t="inlineStr">
        <is>
          <t>Payroll Tax</t>
        </is>
      </c>
      <c r="B68" s="9" t="inlineStr">
        <is>
          <t>Payroll Tax</t>
        </is>
      </c>
      <c r="C68" s="9" t="inlineStr">
        <is>
          <t>E</t>
        </is>
      </c>
      <c r="D68" s="10" t="n">
        <v>4142.29</v>
      </c>
      <c r="E68" s="10" t="n">
        <v>548.24</v>
      </c>
      <c r="F68" s="10" t="n">
        <v>490.87</v>
      </c>
      <c r="G68" s="10" t="n">
        <v>433.5</v>
      </c>
      <c r="H68" s="10" t="n">
        <v>433.5</v>
      </c>
      <c r="I68" s="10" t="n">
        <v>433.5</v>
      </c>
      <c r="J68" s="10" t="n">
        <v>433.5</v>
      </c>
      <c r="K68" s="10" t="n">
        <v>433.5</v>
      </c>
      <c r="L68" s="10" t="n">
        <v>580.8200000000001</v>
      </c>
      <c r="M68" s="10" t="n">
        <v>580.05</v>
      </c>
      <c r="N68" s="10" t="n">
        <v>525.54</v>
      </c>
      <c r="O68" s="10" t="n">
        <v>479.71</v>
      </c>
      <c r="P68" s="10" t="n">
        <v>445.37</v>
      </c>
      <c r="Q68" s="10" t="n">
        <v>433.5</v>
      </c>
      <c r="R68" s="10" t="n">
        <v>433.5</v>
      </c>
      <c r="S68" s="10" t="n">
        <v>433.5</v>
      </c>
      <c r="T68" s="10" t="n">
        <v>433.5</v>
      </c>
      <c r="U68" s="10" t="n">
        <v>433.5</v>
      </c>
      <c r="V68" s="10" t="n">
        <v>816</v>
      </c>
      <c r="W68" s="10" t="n">
        <v>816</v>
      </c>
      <c r="X68" s="10" t="n">
        <v>727.92</v>
      </c>
      <c r="Y68" s="10" t="n">
        <v>689.92</v>
      </c>
      <c r="Z68" s="10" t="n">
        <v>597.92</v>
      </c>
      <c r="AA68" s="10" t="n">
        <v>545.97</v>
      </c>
      <c r="AB68" s="10" t="n">
        <v>553.67</v>
      </c>
      <c r="AC68" s="10" t="n">
        <v>543.28</v>
      </c>
    </row>
    <row r="69" ht="15" customHeight="1">
      <c r="A69" s="8" t="inlineStr">
        <is>
          <t>Prepaid Expenses</t>
        </is>
      </c>
      <c r="B69" s="9" t="inlineStr">
        <is>
          <t>Prepaid Expenses</t>
        </is>
      </c>
      <c r="C69" s="9" t="inlineStr">
        <is>
          <t>A</t>
        </is>
      </c>
      <c r="D69" s="10" t="n">
        <v>331.33</v>
      </c>
      <c r="E69" s="10" t="n">
        <v>0</v>
      </c>
      <c r="F69" s="10" t="n">
        <v>0</v>
      </c>
      <c r="G69" s="10" t="n">
        <v>0</v>
      </c>
      <c r="H69" s="10" t="n">
        <v>0</v>
      </c>
      <c r="I69" s="10" t="n">
        <v>0</v>
      </c>
      <c r="J69" s="10" t="n">
        <v>0</v>
      </c>
      <c r="K69" s="10" t="n">
        <v>0</v>
      </c>
      <c r="L69" s="10" t="n">
        <v>0</v>
      </c>
      <c r="M69" s="10" t="n">
        <v>-331.33</v>
      </c>
      <c r="N69" s="10" t="n">
        <v>0</v>
      </c>
      <c r="O69" s="10" t="n">
        <v>0</v>
      </c>
      <c r="P69" s="10" t="n">
        <v>0</v>
      </c>
      <c r="Q69" s="10" t="n">
        <v>0</v>
      </c>
      <c r="R69" s="10" t="n">
        <v>0</v>
      </c>
      <c r="S69" s="10" t="n">
        <v>0</v>
      </c>
      <c r="T69" s="10" t="n">
        <v>0</v>
      </c>
      <c r="U69" s="10" t="n">
        <v>0</v>
      </c>
      <c r="V69" s="10" t="n">
        <v>0</v>
      </c>
      <c r="W69" s="10" t="n">
        <v>0</v>
      </c>
      <c r="X69" s="10" t="n">
        <v>0</v>
      </c>
      <c r="Y69" s="10" t="n">
        <v>0</v>
      </c>
      <c r="Z69" s="10" t="n">
        <v>0</v>
      </c>
      <c r="AA69" s="10" t="n">
        <v>0</v>
      </c>
      <c r="AB69" s="10" t="n">
        <v>0</v>
      </c>
      <c r="AC69" s="10" t="n">
        <v>0</v>
      </c>
    </row>
    <row r="70" ht="15" customHeight="1">
      <c r="A70" s="8" t="inlineStr">
        <is>
          <t>Refund</t>
        </is>
      </c>
      <c r="B70" s="9" t="inlineStr">
        <is>
          <t>Refunds</t>
        </is>
      </c>
      <c r="C70" s="9" t="inlineStr">
        <is>
          <t>XR</t>
        </is>
      </c>
      <c r="D70" s="10" t="n">
        <v>4240</v>
      </c>
      <c r="E70" s="10" t="n">
        <v>1280</v>
      </c>
      <c r="F70" s="10" t="n">
        <v>1500</v>
      </c>
      <c r="G70" s="10" t="n">
        <v>880</v>
      </c>
      <c r="H70" s="10" t="n">
        <v>0</v>
      </c>
      <c r="I70" s="10" t="n">
        <v>0</v>
      </c>
      <c r="J70" s="10" t="n">
        <v>0</v>
      </c>
      <c r="K70" s="10" t="n">
        <v>0</v>
      </c>
      <c r="L70" s="10" t="n">
        <v>0</v>
      </c>
      <c r="M70" s="10" t="n">
        <v>0</v>
      </c>
      <c r="N70" s="10" t="n">
        <v>0</v>
      </c>
      <c r="O70" s="10" t="n">
        <v>1000</v>
      </c>
      <c r="P70" s="10" t="n">
        <v>50</v>
      </c>
      <c r="Q70" s="10" t="n">
        <v>498</v>
      </c>
      <c r="R70" s="10" t="n">
        <v>780</v>
      </c>
      <c r="S70" s="10" t="n">
        <v>500</v>
      </c>
      <c r="T70" s="10" t="n">
        <v>598.1</v>
      </c>
      <c r="U70" s="10" t="n">
        <v>500</v>
      </c>
      <c r="V70" s="10" t="n">
        <v>0</v>
      </c>
      <c r="W70" s="10" t="n">
        <v>0</v>
      </c>
      <c r="X70" s="10" t="n">
        <v>150</v>
      </c>
      <c r="Y70" s="10" t="n">
        <v>0</v>
      </c>
      <c r="Z70" s="10" t="n">
        <v>2136.2</v>
      </c>
      <c r="AA70" s="10" t="n">
        <v>5095.99</v>
      </c>
      <c r="AB70" s="10" t="n">
        <v>1000</v>
      </c>
      <c r="AC70" s="10" t="n">
        <v>0</v>
      </c>
    </row>
    <row r="71" ht="15" customHeight="1">
      <c r="A71" s="8" t="inlineStr">
        <is>
          <t>Rent Expense</t>
        </is>
      </c>
      <c r="B71" s="9" t="inlineStr">
        <is>
          <t>Rent Expense</t>
        </is>
      </c>
      <c r="C71" s="9" t="inlineStr">
        <is>
          <t>E</t>
        </is>
      </c>
      <c r="D71" s="10" t="n">
        <v>2038.03</v>
      </c>
      <c r="E71" s="10" t="n">
        <v>327.05</v>
      </c>
      <c r="F71" s="10" t="n">
        <v>330.63</v>
      </c>
      <c r="G71" s="10" t="n">
        <v>0</v>
      </c>
      <c r="H71" s="10" t="n">
        <v>684.7</v>
      </c>
      <c r="I71" s="10" t="n">
        <v>330.9</v>
      </c>
      <c r="J71" s="10" t="n">
        <v>326.22</v>
      </c>
      <c r="K71" s="10" t="n">
        <v>327.07</v>
      </c>
      <c r="L71" s="10" t="n">
        <v>327.64</v>
      </c>
      <c r="M71" s="10" t="n">
        <v>331.33</v>
      </c>
      <c r="N71" s="10" t="n">
        <v>0</v>
      </c>
      <c r="O71" s="10" t="n">
        <v>0</v>
      </c>
      <c r="P71" s="10" t="n">
        <v>0</v>
      </c>
      <c r="Q71" s="10" t="n">
        <v>0</v>
      </c>
      <c r="R71" s="10" t="n">
        <v>0</v>
      </c>
      <c r="S71" s="10" t="n">
        <v>0</v>
      </c>
      <c r="T71" s="10" t="n">
        <v>0</v>
      </c>
      <c r="U71" s="10" t="n">
        <v>0</v>
      </c>
      <c r="V71" s="10" t="n">
        <v>0</v>
      </c>
      <c r="W71" s="10" t="n">
        <v>0</v>
      </c>
      <c r="X71" s="10" t="n">
        <v>0</v>
      </c>
      <c r="Y71" s="10" t="n">
        <v>0</v>
      </c>
      <c r="Z71" s="10" t="n">
        <v>0</v>
      </c>
      <c r="AA71" s="10" t="n">
        <v>0</v>
      </c>
      <c r="AB71" s="10" t="n">
        <v>0</v>
      </c>
      <c r="AC71" s="10" t="n">
        <v>0</v>
      </c>
    </row>
    <row r="72" ht="15" customHeight="1">
      <c r="A72" s="8" t="inlineStr">
        <is>
          <t>Retained Earnings</t>
        </is>
      </c>
      <c r="B72" s="9" t="inlineStr">
        <is>
          <t>Retained Earnings</t>
        </is>
      </c>
      <c r="C72" s="9" t="inlineStr">
        <is>
          <t>EQ</t>
        </is>
      </c>
      <c r="D72" s="10" t="n">
        <v>2784.27</v>
      </c>
      <c r="E72" s="10" t="n">
        <v>0</v>
      </c>
      <c r="F72" s="10" t="n">
        <v>0</v>
      </c>
      <c r="G72" s="10" t="n">
        <v>0</v>
      </c>
      <c r="H72" s="10" t="n">
        <v>0</v>
      </c>
      <c r="I72" s="10" t="n">
        <v>0</v>
      </c>
      <c r="J72" s="10" t="n">
        <v>0</v>
      </c>
      <c r="K72" s="10" t="n">
        <v>0</v>
      </c>
      <c r="L72" s="10" t="n">
        <v>51485.83</v>
      </c>
      <c r="M72" s="10" t="n">
        <v>0</v>
      </c>
      <c r="N72" s="10" t="n">
        <v>0</v>
      </c>
      <c r="O72" s="10" t="n">
        <v>0</v>
      </c>
      <c r="P72" s="10" t="n">
        <v>0</v>
      </c>
      <c r="Q72" s="10" t="n">
        <v>0</v>
      </c>
      <c r="R72" s="10" t="n">
        <v>0</v>
      </c>
      <c r="S72" s="10" t="n">
        <v>0</v>
      </c>
      <c r="T72" s="10" t="n">
        <v>0</v>
      </c>
      <c r="U72" s="10" t="n">
        <v>0</v>
      </c>
      <c r="V72" s="10" t="n">
        <v>0</v>
      </c>
      <c r="W72" s="10" t="n">
        <v>0</v>
      </c>
      <c r="X72" s="10" t="n">
        <v>73765.11</v>
      </c>
      <c r="Y72" s="10" t="n">
        <v>0</v>
      </c>
      <c r="Z72" s="10" t="n">
        <v>0</v>
      </c>
      <c r="AA72" s="10" t="n">
        <v>0</v>
      </c>
      <c r="AB72" s="10" t="n">
        <v>0</v>
      </c>
      <c r="AC72" s="10" t="n">
        <v>0</v>
      </c>
    </row>
    <row r="73" ht="15" customHeight="1">
      <c r="A73" s="8" t="inlineStr">
        <is>
          <t>SMARTVAS CHECKING</t>
        </is>
      </c>
      <c r="B73" s="9" t="inlineStr">
        <is>
          <t>SMARTVAS Checking</t>
        </is>
      </c>
      <c r="C73" s="9" t="inlineStr">
        <is>
          <t>A</t>
        </is>
      </c>
      <c r="D73" s="10" t="n">
        <v>28165.66</v>
      </c>
      <c r="E73" s="10" t="n">
        <v>-4995.04</v>
      </c>
      <c r="F73" s="10" t="n">
        <v>-1251.87</v>
      </c>
      <c r="G73" s="10" t="n">
        <v>934.64</v>
      </c>
      <c r="H73" s="10" t="n">
        <v>-2971.42</v>
      </c>
      <c r="I73" s="10" t="n">
        <v>-19699.01</v>
      </c>
      <c r="J73" s="10" t="n">
        <v>-38</v>
      </c>
      <c r="K73" s="10" t="n">
        <v>-144.96</v>
      </c>
      <c r="L73" s="10" t="n">
        <v>0</v>
      </c>
      <c r="M73" s="10" t="n">
        <v>0</v>
      </c>
      <c r="N73" s="10" t="n">
        <v>0</v>
      </c>
      <c r="O73" s="10" t="n">
        <v>0</v>
      </c>
      <c r="P73" s="10" t="n">
        <v>0</v>
      </c>
      <c r="Q73" s="10" t="n">
        <v>0</v>
      </c>
      <c r="R73" s="10" t="n">
        <v>0</v>
      </c>
      <c r="S73" s="10" t="n">
        <v>0</v>
      </c>
      <c r="T73" s="10" t="n">
        <v>0</v>
      </c>
      <c r="U73" s="10" t="n">
        <v>0</v>
      </c>
      <c r="V73" s="10" t="n">
        <v>0</v>
      </c>
      <c r="W73" s="10" t="n">
        <v>0</v>
      </c>
      <c r="X73" s="10" t="n">
        <v>0</v>
      </c>
      <c r="Y73" s="10" t="n">
        <v>0</v>
      </c>
      <c r="Z73" s="10" t="n">
        <v>0</v>
      </c>
      <c r="AA73" s="10" t="n">
        <v>0</v>
      </c>
      <c r="AB73" s="10" t="n">
        <v>0</v>
      </c>
      <c r="AC73" s="10" t="n">
        <v>0</v>
      </c>
    </row>
    <row r="74" ht="15" customHeight="1">
      <c r="A74" s="8" t="inlineStr">
        <is>
          <t>Security Deposit</t>
        </is>
      </c>
      <c r="B74" s="9" t="inlineStr">
        <is>
          <t>Security Deposit</t>
        </is>
      </c>
      <c r="C74" s="9" t="inlineStr">
        <is>
          <t>A</t>
        </is>
      </c>
      <c r="D74" s="10" t="n">
        <v>807.41</v>
      </c>
      <c r="E74" s="10" t="n">
        <v>0</v>
      </c>
      <c r="F74" s="10" t="n">
        <v>0</v>
      </c>
      <c r="G74" s="10" t="n">
        <v>0</v>
      </c>
      <c r="H74" s="10" t="n">
        <v>0</v>
      </c>
      <c r="I74" s="10" t="n">
        <v>0</v>
      </c>
      <c r="J74" s="10" t="n">
        <v>0</v>
      </c>
      <c r="K74" s="10" t="n">
        <v>0</v>
      </c>
      <c r="L74" s="10" t="n">
        <v>0</v>
      </c>
      <c r="M74" s="10" t="n">
        <v>0</v>
      </c>
      <c r="N74" s="10" t="n">
        <v>0</v>
      </c>
      <c r="O74" s="10" t="n">
        <v>0</v>
      </c>
      <c r="P74" s="10" t="n">
        <v>0</v>
      </c>
      <c r="Q74" s="10" t="n">
        <v>0</v>
      </c>
      <c r="R74" s="10" t="n">
        <v>-807.41</v>
      </c>
      <c r="S74" s="10" t="n">
        <v>0</v>
      </c>
      <c r="T74" s="10" t="n">
        <v>0</v>
      </c>
      <c r="U74" s="10" t="n">
        <v>0</v>
      </c>
      <c r="V74" s="10" t="n">
        <v>0</v>
      </c>
      <c r="W74" s="10" t="n">
        <v>0</v>
      </c>
      <c r="X74" s="10" t="n">
        <v>0</v>
      </c>
      <c r="Y74" s="10" t="n">
        <v>0</v>
      </c>
      <c r="Z74" s="10" t="n">
        <v>0</v>
      </c>
      <c r="AA74" s="10" t="n">
        <v>0</v>
      </c>
      <c r="AB74" s="10" t="n">
        <v>0</v>
      </c>
      <c r="AC74" s="10" t="n">
        <v>0</v>
      </c>
    </row>
    <row r="75" ht="15" customHeight="1">
      <c r="A75" s="8" t="inlineStr">
        <is>
          <t>Smart VAs AMEX Checking</t>
        </is>
      </c>
      <c r="B75" s="9" t="inlineStr">
        <is>
          <t>Smart VAs AMEX Checking</t>
        </is>
      </c>
      <c r="C75" s="9" t="inlineStr">
        <is>
          <t>A</t>
        </is>
      </c>
      <c r="D75" s="10" t="n">
        <v>114.5</v>
      </c>
      <c r="E75" s="10" t="n">
        <v>0.12</v>
      </c>
      <c r="F75" s="10" t="n">
        <v>0.12</v>
      </c>
      <c r="G75" s="10" t="n">
        <v>0.12</v>
      </c>
      <c r="H75" s="10" t="n">
        <v>0.12</v>
      </c>
      <c r="I75" s="10" t="n">
        <v>40022.03</v>
      </c>
      <c r="J75" s="10" t="n">
        <v>-8345.07</v>
      </c>
      <c r="K75" s="10" t="n">
        <v>-13110.65</v>
      </c>
      <c r="L75" s="10" t="n">
        <v>4754.63</v>
      </c>
      <c r="M75" s="10" t="n">
        <v>-4075.2</v>
      </c>
      <c r="N75" s="10" t="n">
        <v>10193.95</v>
      </c>
      <c r="O75" s="10" t="n">
        <v>5896.42</v>
      </c>
      <c r="P75" s="10" t="n">
        <v>17230.31</v>
      </c>
      <c r="Q75" s="10" t="n">
        <v>-13851.33</v>
      </c>
      <c r="R75" s="10" t="n">
        <v>25094.12</v>
      </c>
      <c r="S75" s="10" t="n">
        <v>-19094.7</v>
      </c>
      <c r="T75" s="10" t="n">
        <v>9170.01</v>
      </c>
      <c r="U75" s="10" t="n">
        <v>18740.11</v>
      </c>
      <c r="V75" s="10" t="n">
        <v>-150.71</v>
      </c>
      <c r="W75" s="10" t="n">
        <v>-11253.1</v>
      </c>
      <c r="X75" s="10" t="n">
        <v>21197.53</v>
      </c>
      <c r="Y75" s="10" t="n">
        <v>-9106.280000000001</v>
      </c>
      <c r="Z75" s="10" t="n">
        <v>-4067.49</v>
      </c>
      <c r="AA75" s="10" t="n">
        <v>18110.96</v>
      </c>
      <c r="AB75" s="10" t="n">
        <v>4965.5</v>
      </c>
      <c r="AC75" s="10" t="n">
        <v>-5264.42</v>
      </c>
    </row>
    <row r="76" ht="15" customHeight="1">
      <c r="A76" s="8" t="inlineStr">
        <is>
          <t>Taxes &amp; Licenses</t>
        </is>
      </c>
      <c r="B76" s="9" t="inlineStr">
        <is>
          <t>Taxes &amp; Licenses</t>
        </is>
      </c>
      <c r="C76" s="9" t="inlineStr">
        <is>
          <t>E</t>
        </is>
      </c>
      <c r="D76" s="10" t="n">
        <v>0</v>
      </c>
      <c r="E76" s="10" t="n">
        <v>0</v>
      </c>
      <c r="F76" s="10" t="n">
        <v>0</v>
      </c>
      <c r="G76" s="10" t="n">
        <v>0</v>
      </c>
      <c r="H76" s="10" t="n">
        <v>0</v>
      </c>
      <c r="I76" s="10" t="n">
        <v>0</v>
      </c>
      <c r="J76" s="10" t="n">
        <v>0</v>
      </c>
      <c r="K76" s="10" t="n">
        <v>0</v>
      </c>
      <c r="L76" s="10" t="n">
        <v>0</v>
      </c>
      <c r="M76" s="10" t="n">
        <v>25</v>
      </c>
      <c r="N76" s="10" t="n">
        <v>0</v>
      </c>
      <c r="O76" s="10" t="n">
        <v>0</v>
      </c>
      <c r="P76" s="10" t="n">
        <v>0</v>
      </c>
      <c r="Q76" s="10" t="n">
        <v>0</v>
      </c>
      <c r="R76" s="10" t="n">
        <v>0</v>
      </c>
      <c r="S76" s="10" t="n">
        <v>0</v>
      </c>
      <c r="T76" s="10" t="n">
        <v>0</v>
      </c>
      <c r="U76" s="10" t="n">
        <v>0</v>
      </c>
      <c r="V76" s="10" t="n">
        <v>0</v>
      </c>
      <c r="W76" s="10" t="n">
        <v>0</v>
      </c>
      <c r="X76" s="10" t="n">
        <v>0</v>
      </c>
      <c r="Y76" s="10" t="n">
        <v>0</v>
      </c>
      <c r="Z76" s="10" t="n">
        <v>0</v>
      </c>
      <c r="AA76" s="10" t="n">
        <v>0</v>
      </c>
      <c r="AB76" s="10" t="n">
        <v>0</v>
      </c>
      <c r="AC76" s="10" t="n">
        <v>0</v>
      </c>
    </row>
    <row r="77" ht="15" customHeight="1">
      <c r="A77" s="8" t="inlineStr">
        <is>
          <t>Teambuilding Fund</t>
        </is>
      </c>
      <c r="B77" s="9" t="inlineStr">
        <is>
          <t>Teambuilding Fund</t>
        </is>
      </c>
      <c r="C77" s="9" t="inlineStr">
        <is>
          <t>L</t>
        </is>
      </c>
      <c r="D77" s="10" t="n">
        <v>0</v>
      </c>
      <c r="E77" s="10" t="n">
        <v>0</v>
      </c>
      <c r="F77" s="10" t="n">
        <v>0</v>
      </c>
      <c r="G77" s="10" t="n">
        <v>0</v>
      </c>
      <c r="H77" s="10" t="n">
        <v>0</v>
      </c>
      <c r="I77" s="10" t="n">
        <v>0</v>
      </c>
      <c r="J77" s="10" t="n">
        <v>0</v>
      </c>
      <c r="K77" s="10" t="n">
        <v>0</v>
      </c>
      <c r="L77" s="10" t="n">
        <v>-515.21</v>
      </c>
      <c r="M77" s="10" t="n">
        <v>-994.0700000000001</v>
      </c>
      <c r="N77" s="10" t="n">
        <v>1074.63</v>
      </c>
      <c r="O77" s="10" t="n">
        <v>434.65</v>
      </c>
      <c r="P77" s="10" t="n">
        <v>0</v>
      </c>
      <c r="Q77" s="10" t="n">
        <v>0</v>
      </c>
      <c r="R77" s="10" t="n">
        <v>0</v>
      </c>
      <c r="S77" s="10" t="n">
        <v>0</v>
      </c>
      <c r="T77" s="10" t="n">
        <v>0</v>
      </c>
      <c r="U77" s="10" t="n">
        <v>0</v>
      </c>
      <c r="V77" s="10" t="n">
        <v>0</v>
      </c>
      <c r="W77" s="10" t="n">
        <v>0</v>
      </c>
      <c r="X77" s="10" t="n">
        <v>0</v>
      </c>
      <c r="Y77" s="10" t="n">
        <v>0</v>
      </c>
      <c r="Z77" s="10" t="n">
        <v>0</v>
      </c>
      <c r="AA77" s="10" t="n">
        <v>0</v>
      </c>
      <c r="AB77" s="10" t="n">
        <v>0</v>
      </c>
      <c r="AC77" s="10" t="n">
        <v>0</v>
      </c>
    </row>
    <row r="78" ht="15" customHeight="1">
      <c r="A78" s="8" t="inlineStr">
        <is>
          <t>Unapplied Cash Bill Payment Expense</t>
        </is>
      </c>
      <c r="B78" s="9" t="inlineStr">
        <is>
          <t>Unapplied Cash Bill Payments</t>
        </is>
      </c>
      <c r="C78" s="9" t="inlineStr">
        <is>
          <t>E</t>
        </is>
      </c>
      <c r="D78" s="10" t="n">
        <v>0</v>
      </c>
      <c r="E78" s="10" t="n">
        <v>0</v>
      </c>
      <c r="F78" s="10" t="n">
        <v>0</v>
      </c>
      <c r="G78" s="10" t="n">
        <v>0</v>
      </c>
      <c r="H78" s="10" t="n">
        <v>0</v>
      </c>
      <c r="I78" s="10" t="n">
        <v>0</v>
      </c>
      <c r="J78" s="10" t="n">
        <v>0</v>
      </c>
      <c r="K78" s="10" t="n">
        <v>0</v>
      </c>
      <c r="L78" s="10" t="n">
        <v>0</v>
      </c>
      <c r="M78" s="10" t="n">
        <v>0</v>
      </c>
      <c r="N78" s="10" t="n">
        <v>0</v>
      </c>
      <c r="O78" s="10" t="n">
        <v>0</v>
      </c>
      <c r="P78" s="10" t="n">
        <v>0</v>
      </c>
      <c r="Q78" s="10" t="n">
        <v>0</v>
      </c>
      <c r="R78" s="10" t="n">
        <v>0</v>
      </c>
      <c r="S78" s="10" t="n">
        <v>0</v>
      </c>
      <c r="T78" s="10" t="n">
        <v>0</v>
      </c>
      <c r="U78" s="10" t="n">
        <v>0</v>
      </c>
      <c r="V78" s="10" t="n">
        <v>0</v>
      </c>
      <c r="W78" s="10" t="n">
        <v>0</v>
      </c>
      <c r="X78" s="10" t="n">
        <v>0</v>
      </c>
      <c r="Y78" s="10" t="n">
        <v>0</v>
      </c>
      <c r="Z78" s="10" t="n">
        <v>0</v>
      </c>
      <c r="AA78" s="10" t="n">
        <v>0</v>
      </c>
      <c r="AB78" s="10" t="n">
        <v>0</v>
      </c>
      <c r="AC78" s="10" t="n">
        <v>0</v>
      </c>
    </row>
    <row r="79" ht="15" customHeight="1">
      <c r="A79" s="8" t="inlineStr">
        <is>
          <t>Unapplied Cash Payment Income</t>
        </is>
      </c>
      <c r="B79" s="9" t="inlineStr">
        <is>
          <t>Unapplied Cash Payments</t>
        </is>
      </c>
      <c r="C79" s="9" t="inlineStr">
        <is>
          <t>R</t>
        </is>
      </c>
      <c r="D79" s="10" t="n">
        <v>0</v>
      </c>
      <c r="E79" s="10" t="n">
        <v>0</v>
      </c>
      <c r="F79" s="10" t="n">
        <v>0</v>
      </c>
      <c r="G79" s="10" t="n">
        <v>0</v>
      </c>
      <c r="H79" s="10" t="n">
        <v>0</v>
      </c>
      <c r="I79" s="10" t="n">
        <v>0</v>
      </c>
      <c r="J79" s="10" t="n">
        <v>0</v>
      </c>
      <c r="K79" s="10" t="n">
        <v>0</v>
      </c>
      <c r="L79" s="10" t="n">
        <v>0</v>
      </c>
      <c r="M79" s="10" t="n">
        <v>0</v>
      </c>
      <c r="N79" s="10" t="n">
        <v>0</v>
      </c>
      <c r="O79" s="10" t="n">
        <v>0</v>
      </c>
      <c r="P79" s="10" t="n">
        <v>0</v>
      </c>
      <c r="Q79" s="10" t="n">
        <v>0</v>
      </c>
      <c r="R79" s="10" t="n">
        <v>0</v>
      </c>
      <c r="S79" s="10" t="n">
        <v>741.78</v>
      </c>
      <c r="T79" s="10" t="n">
        <v>-741.78</v>
      </c>
      <c r="U79" s="10" t="n">
        <v>0</v>
      </c>
      <c r="V79" s="10" t="n">
        <v>0</v>
      </c>
      <c r="W79" s="10" t="n">
        <v>0</v>
      </c>
      <c r="X79" s="10" t="n">
        <v>0</v>
      </c>
      <c r="Y79" s="10" t="n">
        <v>0</v>
      </c>
      <c r="Z79" s="10" t="n">
        <v>0</v>
      </c>
      <c r="AA79" s="10" t="n">
        <v>0</v>
      </c>
      <c r="AB79" s="10" t="n">
        <v>0</v>
      </c>
      <c r="AC79" s="10" t="n">
        <v>0</v>
      </c>
    </row>
    <row r="80" ht="15" customHeight="1">
      <c r="A80" s="8" t="inlineStr">
        <is>
          <t>Unionbank</t>
        </is>
      </c>
      <c r="B80" s="9" t="inlineStr">
        <is>
          <t>Unionbank</t>
        </is>
      </c>
      <c r="C80" s="9" t="inlineStr">
        <is>
          <t>A</t>
        </is>
      </c>
      <c r="D80" s="10" t="n">
        <v>79.67</v>
      </c>
      <c r="E80" s="10" t="n">
        <v>0</v>
      </c>
      <c r="F80" s="10" t="n">
        <v>0</v>
      </c>
      <c r="G80" s="10" t="n">
        <v>0</v>
      </c>
      <c r="H80" s="10" t="n">
        <v>0</v>
      </c>
      <c r="I80" s="10" t="n">
        <v>0</v>
      </c>
      <c r="J80" s="10" t="n">
        <v>0</v>
      </c>
      <c r="K80" s="10" t="n">
        <v>0</v>
      </c>
      <c r="L80" s="10" t="n">
        <v>0</v>
      </c>
      <c r="M80" s="10" t="n">
        <v>0</v>
      </c>
      <c r="N80" s="10" t="n">
        <v>-79.67</v>
      </c>
      <c r="O80" s="10" t="n">
        <v>0</v>
      </c>
      <c r="P80" s="10" t="n">
        <v>0</v>
      </c>
      <c r="Q80" s="10" t="n">
        <v>0</v>
      </c>
      <c r="R80" s="10" t="n">
        <v>0</v>
      </c>
      <c r="S80" s="10" t="n">
        <v>0</v>
      </c>
      <c r="T80" s="10" t="n">
        <v>0</v>
      </c>
      <c r="U80" s="10" t="n">
        <v>0</v>
      </c>
      <c r="V80" s="10" t="n">
        <v>0</v>
      </c>
      <c r="W80" s="10" t="n">
        <v>0</v>
      </c>
      <c r="X80" s="10" t="n">
        <v>0</v>
      </c>
      <c r="Y80" s="10" t="n">
        <v>0</v>
      </c>
      <c r="Z80" s="10" t="n">
        <v>0</v>
      </c>
      <c r="AA80" s="10" t="n">
        <v>0</v>
      </c>
      <c r="AB80" s="10" t="n">
        <v>0</v>
      </c>
      <c r="AC80" s="10" t="n">
        <v>0</v>
      </c>
    </row>
    <row r="81" ht="15" customHeight="1">
      <c r="A81" s="8" t="inlineStr">
        <is>
          <t>Wise Fund</t>
        </is>
      </c>
      <c r="B81" s="9" t="inlineStr">
        <is>
          <t>Wise Fund</t>
        </is>
      </c>
      <c r="C81" s="9" t="inlineStr">
        <is>
          <t>A</t>
        </is>
      </c>
      <c r="D81" s="10" t="n">
        <v>9.83</v>
      </c>
      <c r="E81" s="10" t="n">
        <v>-3.63</v>
      </c>
      <c r="F81" s="10" t="n">
        <v>0</v>
      </c>
      <c r="G81" s="10" t="n">
        <v>-3.65</v>
      </c>
      <c r="H81" s="10" t="n">
        <v>0</v>
      </c>
      <c r="I81" s="10" t="n">
        <v>0</v>
      </c>
      <c r="J81" s="10" t="n">
        <v>0</v>
      </c>
      <c r="K81" s="10" t="n">
        <v>0</v>
      </c>
      <c r="L81" s="10" t="n">
        <v>0</v>
      </c>
      <c r="M81" s="10" t="n">
        <v>0</v>
      </c>
      <c r="N81" s="10" t="n">
        <v>0</v>
      </c>
      <c r="O81" s="10" t="n">
        <v>0</v>
      </c>
      <c r="P81" s="10" t="n">
        <v>0</v>
      </c>
      <c r="Q81" s="10" t="n">
        <v>0</v>
      </c>
      <c r="R81" s="10" t="n">
        <v>0</v>
      </c>
      <c r="S81" s="10" t="n">
        <v>0</v>
      </c>
      <c r="T81" s="10" t="n">
        <v>0</v>
      </c>
      <c r="U81" s="10" t="n">
        <v>0</v>
      </c>
      <c r="V81" s="10" t="n">
        <v>0</v>
      </c>
      <c r="W81" s="10" t="n">
        <v>0</v>
      </c>
      <c r="X81" s="10" t="n">
        <v>0</v>
      </c>
      <c r="Y81" s="10" t="n">
        <v>0</v>
      </c>
      <c r="Z81" s="10" t="n">
        <v>0</v>
      </c>
      <c r="AA81" s="10" t="n">
        <v>0</v>
      </c>
      <c r="AB81" s="10" t="n">
        <v>0</v>
      </c>
      <c r="AC81" s="10" t="n">
        <v>0</v>
      </c>
    </row>
    <row r="82" ht="15" customHeight="1">
      <c r="A82" s="11" t="inlineStr">
        <is>
          <t>A/R timing plug (derived — see READ_ME)</t>
        </is>
      </c>
      <c r="B82" s="9" t="inlineStr">
        <is>
          <t>Accounts Receivable</t>
        </is>
      </c>
      <c r="C82" s="9" t="inlineStr">
        <is>
          <t>A</t>
        </is>
      </c>
      <c r="D82" s="12" t="n">
        <v>0</v>
      </c>
      <c r="E82" s="12">
        <f>-SUM(E6:E81)</f>
        <v>-2.0374812947920873e-12</v>
      </c>
      <c r="F82" s="12">
        <f>-SUM(F6:F81)</f>
        <v>-3.7471137304123658e-12</v>
      </c>
      <c r="G82" s="12">
        <f>-SUM(G6:G81)</f>
        <v>715.45999999999151</v>
      </c>
      <c r="H82" s="12">
        <f>-SUM(H6:H81)</f>
        <v>901.14000000001204</v>
      </c>
      <c r="I82" s="12">
        <f>-SUM(I6:I81)</f>
        <v>867.68000000000757</v>
      </c>
      <c r="J82" s="12">
        <f>-SUM(J6:J81)</f>
        <v>855.39999999999691</v>
      </c>
      <c r="K82" s="12">
        <f>-SUM(K6:K81)</f>
        <v>-3216.0800000000072</v>
      </c>
      <c r="L82" s="12">
        <f>-SUM(L6:L81)</f>
        <v>1030.4199999999964</v>
      </c>
      <c r="M82" s="12">
        <f>-SUM(M6:M81)</f>
        <v>1988.1400000000117</v>
      </c>
      <c r="N82" s="12">
        <f>-SUM(N6:N81)</f>
        <v>-2149.259999999992</v>
      </c>
      <c r="O82" s="12">
        <f>-SUM(O6:O81)</f>
        <v>-869.2999999999987</v>
      </c>
      <c r="P82" s="12">
        <f>-SUM(P6:P81)</f>
        <v>1.4551915228366852e-11</v>
      </c>
      <c r="Q82" s="12">
        <f>-SUM(Q6:Q81)</f>
        <v>-5.4569682106375694e-12</v>
      </c>
      <c r="R82" s="12">
        <f>-SUM(R6:R81)</f>
        <v>1614.820000000007</v>
      </c>
      <c r="S82" s="12">
        <f>-SUM(S6:S81)</f>
        <v>2.5011104298755527e-12</v>
      </c>
      <c r="T82" s="12">
        <f>-SUM(T6:T81)</f>
        <v>6.5938365878537297e-12</v>
      </c>
      <c r="U82" s="12">
        <f>-SUM(U6:U81)</f>
        <v>0</v>
      </c>
      <c r="V82" s="12">
        <f>-SUM(V6:V81)</f>
        <v>-8849.8600000000006</v>
      </c>
      <c r="W82" s="12">
        <f>-SUM(W6:W81)</f>
        <v>3809.8399999999965</v>
      </c>
      <c r="X82" s="12">
        <f>-SUM(X6:X81)</f>
        <v>3425.2000000000116</v>
      </c>
      <c r="Y82" s="12">
        <f>-SUM(Y6:Y81)</f>
        <v>9.0949470177292824e-12</v>
      </c>
      <c r="Z82" s="12">
        <f>-SUM(Z6:Z81)</f>
        <v>1.0004441719502211e-11</v>
      </c>
      <c r="AA82" s="12">
        <f>-SUM(AA6:AA81)</f>
        <v>-1.4551915228366852e-11</v>
      </c>
      <c r="AB82" s="12">
        <f>-SUM(AB6:AB81)</f>
        <v>-5.4569682106375694e-12</v>
      </c>
      <c r="AC82" s="12">
        <f>-SUM(AC6:AC81)</f>
        <v>-3.637978807091713e-12</v>
      </c>
    </row>
    <row r="84" ht="15" customHeight="1">
      <c r="A84" s="13" t="inlineStr">
        <is>
          <t>Opening equity at 5/31/2024 (balancing, per TB)</t>
        </is>
      </c>
      <c r="D84" s="10" t="n">
        <v>35592.74</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A384"/>
  <sheetViews>
    <sheetView showGridLines="0" topLeftCell="A362" zoomScaleNormal="100" workbookViewId="0">
      <pane xSplit="2" topLeftCell="C1" activePane="topRight" state="frozen"/>
      <selection activeCell="A362" sqref="A362"/>
      <selection pane="topRight" activeCell="A337" sqref="A337"/>
    </sheetView>
  </sheetViews>
  <sheetFormatPr baseColWidth="8" defaultColWidth="8.7109375" defaultRowHeight="15"/>
  <cols>
    <col width="54" customWidth="1" min="1" max="1"/>
    <col width="14" customWidth="1" min="2" max="2"/>
    <col width="12" customWidth="1" min="3" max="27"/>
  </cols>
  <sheetData>
    <row r="1" ht="17.25" customHeight="1">
      <c r="A1" s="6" t="inlineStr">
        <is>
          <t>Smart VAs LLC</t>
        </is>
      </c>
    </row>
    <row r="2" ht="15" customHeight="1">
      <c r="A2" s="2" t="inlineStr">
        <is>
          <t>Monthly Financial Statements — Income Statement, Balance Sheet &amp; Statement of Cash Flows</t>
        </is>
      </c>
    </row>
    <row r="3" ht="15" customHeight="1">
      <c r="A3" s="5" t="inlineStr">
        <is>
          <t>Currency: USD (all amounts in whole US dollars)</t>
        </is>
      </c>
    </row>
    <row r="4" ht="15" customHeight="1">
      <c r="A4" s="14" t="inlineStr">
        <is>
          <t>Period: June 2024 – June 2026 (25 months)   |   Basis: Accrual   |   Source: Seller general ledger &amp; 5/31/2024 trial balance</t>
        </is>
      </c>
    </row>
    <row r="6" ht="15" customHeight="1">
      <c r="A6" s="15" t="inlineStr">
        <is>
          <t>INCOME STATEMENT</t>
        </is>
      </c>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row>
    <row r="7" ht="24" customHeight="1">
      <c r="B7" s="17" t="inlineStr">
        <is>
          <t>TB 5/31/24</t>
        </is>
      </c>
      <c r="C7" s="18" t="inlineStr">
        <is>
          <t>Jun-24</t>
        </is>
      </c>
      <c r="D7" s="18" t="inlineStr">
        <is>
          <t>Jul-24</t>
        </is>
      </c>
      <c r="E7" s="18" t="inlineStr">
        <is>
          <t>Aug-24</t>
        </is>
      </c>
      <c r="F7" s="18" t="inlineStr">
        <is>
          <t>Sep-24</t>
        </is>
      </c>
      <c r="G7" s="18" t="inlineStr">
        <is>
          <t>Oct-24</t>
        </is>
      </c>
      <c r="H7" s="18" t="inlineStr">
        <is>
          <t>Nov-24</t>
        </is>
      </c>
      <c r="I7" s="18" t="inlineStr">
        <is>
          <t>Dec-24</t>
        </is>
      </c>
      <c r="J7" s="18" t="inlineStr">
        <is>
          <t>Jan-25</t>
        </is>
      </c>
      <c r="K7" s="18" t="inlineStr">
        <is>
          <t>Feb-25</t>
        </is>
      </c>
      <c r="L7" s="18" t="inlineStr">
        <is>
          <t>Mar-25</t>
        </is>
      </c>
      <c r="M7" s="18" t="inlineStr">
        <is>
          <t>Apr-25</t>
        </is>
      </c>
      <c r="N7" s="18" t="inlineStr">
        <is>
          <t>May-25</t>
        </is>
      </c>
      <c r="O7" s="18" t="inlineStr">
        <is>
          <t>Jun-25</t>
        </is>
      </c>
      <c r="P7" s="18" t="inlineStr">
        <is>
          <t>Jul-25</t>
        </is>
      </c>
      <c r="Q7" s="18" t="inlineStr">
        <is>
          <t>Aug-25</t>
        </is>
      </c>
      <c r="R7" s="18" t="inlineStr">
        <is>
          <t>Sep-25</t>
        </is>
      </c>
      <c r="S7" s="18" t="inlineStr">
        <is>
          <t>Oct-25</t>
        </is>
      </c>
      <c r="T7" s="18" t="inlineStr">
        <is>
          <t>Nov-25</t>
        </is>
      </c>
      <c r="U7" s="18" t="inlineStr">
        <is>
          <t>Dec-25</t>
        </is>
      </c>
      <c r="V7" s="18" t="inlineStr">
        <is>
          <t>Jan-26</t>
        </is>
      </c>
      <c r="W7" s="18" t="inlineStr">
        <is>
          <t>Feb-26</t>
        </is>
      </c>
      <c r="X7" s="18" t="inlineStr">
        <is>
          <t>Mar-26</t>
        </is>
      </c>
      <c r="Y7" s="18" t="inlineStr">
        <is>
          <t>Apr-26</t>
        </is>
      </c>
      <c r="Z7" s="18" t="inlineStr">
        <is>
          <t>May-26</t>
        </is>
      </c>
      <c r="AA7" s="18" t="inlineStr">
        <is>
          <t>Jun-26</t>
        </is>
      </c>
    </row>
    <row r="8" ht="15" customHeight="1">
      <c r="A8" s="2" t="inlineStr">
        <is>
          <t>Revenue</t>
        </is>
      </c>
    </row>
    <row r="9" ht="15" customHeight="1">
      <c r="A9" s="19" t="inlineStr">
        <is>
          <t>Service Revenue</t>
        </is>
      </c>
      <c r="C9" s="20">
        <f>-SUMIFS('GL Data'!$E:$E,'GL Data'!$B:$B,$A9)</f>
        <v>68051.110000000001</v>
      </c>
      <c r="D9" s="20">
        <f>-SUMIFS('GL Data'!$F:$F,'GL Data'!$B:$B,$A9)</f>
        <v>81627.009999999995</v>
      </c>
      <c r="E9" s="20">
        <f>-SUMIFS('GL Data'!$G:$G,'GL Data'!$B:$B,$A9)</f>
        <v>72116.399999999994</v>
      </c>
      <c r="F9" s="20">
        <f>-SUMIFS('GL Data'!$H:$H,'GL Data'!$B:$B,$A9)</f>
        <v>71580.320000000007</v>
      </c>
      <c r="G9" s="20">
        <f>-SUMIFS('GL Data'!$I:$I,'GL Data'!$B:$B,$A9)</f>
        <v>75657.75</v>
      </c>
      <c r="H9" s="20">
        <f>-SUMIFS('GL Data'!$J:$J,'GL Data'!$B:$B,$A9)</f>
        <v>71033.559999999998</v>
      </c>
      <c r="I9" s="20">
        <f>-SUMIFS('GL Data'!$K:$K,'GL Data'!$B:$B,$A9)</f>
        <v>70881.910000000003</v>
      </c>
      <c r="J9" s="20">
        <f>-SUMIFS('GL Data'!$L:$L,'GL Data'!$B:$B,$A9)</f>
        <v>66313.389999999999</v>
      </c>
      <c r="K9" s="20">
        <f>-SUMIFS('GL Data'!$M:$M,'GL Data'!$B:$B,$A9)</f>
        <v>61919.050000000003</v>
      </c>
      <c r="L9" s="20">
        <f>-SUMIFS('GL Data'!$N:$N,'GL Data'!$B:$B,$A9)</f>
        <v>69485.320000000007</v>
      </c>
      <c r="M9" s="20">
        <f>-SUMIFS('GL Data'!$O:$O,'GL Data'!$B:$B,$A9)</f>
        <v>77448.330000000002</v>
      </c>
      <c r="N9" s="20">
        <f>-SUMIFS('GL Data'!$P:$P,'GL Data'!$B:$B,$A9)</f>
        <v>83272.410000000003</v>
      </c>
      <c r="O9" s="20">
        <f>-SUMIFS('GL Data'!$Q:$Q,'GL Data'!$B:$B,$A9)</f>
        <v>55987.5</v>
      </c>
      <c r="P9" s="20">
        <f>-SUMIFS('GL Data'!$R:$R,'GL Data'!$B:$B,$A9)</f>
        <v>97281.229999999996</v>
      </c>
      <c r="Q9" s="20">
        <f>-SUMIFS('GL Data'!$S:$S,'GL Data'!$B:$B,$A9)</f>
        <v>65230.760000000002</v>
      </c>
      <c r="R9" s="20">
        <f>-SUMIFS('GL Data'!$T:$T,'GL Data'!$B:$B,$A9)</f>
        <v>78706.910000000003</v>
      </c>
      <c r="S9" s="20">
        <f>-SUMIFS('GL Data'!$U:$U,'GL Data'!$B:$B,$A9)</f>
        <v>98271.75</v>
      </c>
      <c r="T9" s="20">
        <f>-SUMIFS('GL Data'!$V:$V,'GL Data'!$B:$B,$A9)</f>
        <v>83283.369999999995</v>
      </c>
      <c r="U9" s="20">
        <f>-SUMIFS('GL Data'!$W:$W,'GL Data'!$B:$B,$A9)</f>
        <v>81117.899999999994</v>
      </c>
      <c r="V9" s="20">
        <f>-SUMIFS('GL Data'!$X:$X,'GL Data'!$B:$B,$A9)</f>
        <v>95842.240000000005</v>
      </c>
      <c r="W9" s="20">
        <f>-SUMIFS('GL Data'!$Y:$Y,'GL Data'!$B:$B,$A9)</f>
        <v>65696.460000000006</v>
      </c>
      <c r="X9" s="20">
        <f>-SUMIFS('GL Data'!$Z:$Z,'GL Data'!$B:$B,$A9)</f>
        <v>69807.440000000002</v>
      </c>
      <c r="Y9" s="20">
        <f>-SUMIFS('GL Data'!$AA:$AA,'GL Data'!$B:$B,$A9)</f>
        <v>96105.919999999998</v>
      </c>
      <c r="Z9" s="20">
        <f>-SUMIFS('GL Data'!$AB:$AB,'GL Data'!$B:$B,$A9)</f>
        <v>80095.389999999999</v>
      </c>
      <c r="AA9" s="20">
        <f>-SUMIFS('GL Data'!$AC:$AC,'GL Data'!$B:$B,$A9)</f>
        <v>64477.220000000001</v>
      </c>
    </row>
    <row r="10" ht="15" customHeight="1">
      <c r="A10" s="19" t="inlineStr">
        <is>
          <t>Smart VA Academy Revenue</t>
        </is>
      </c>
      <c r="C10" s="20">
        <f>-SUMIFS('GL Data'!$E:$E,'GL Data'!$B:$B,$A10)</f>
        <v>8.4299999999999997</v>
      </c>
      <c r="D10" s="20">
        <f>-SUMIFS('GL Data'!$F:$F,'GL Data'!$B:$B,$A10)</f>
        <v>8.4600000000000009</v>
      </c>
      <c r="E10" s="20">
        <f>-SUMIFS('GL Data'!$G:$G,'GL Data'!$B:$B,$A10)</f>
        <v>8.5</v>
      </c>
      <c r="F10" s="20">
        <f>-SUMIFS('GL Data'!$H:$H,'GL Data'!$B:$B,$A10)</f>
        <v>0</v>
      </c>
      <c r="G10" s="20">
        <f>-SUMIFS('GL Data'!$I:$I,'GL Data'!$B:$B,$A10)</f>
        <v>69.909999999999997</v>
      </c>
      <c r="H10" s="20">
        <f>-SUMIFS('GL Data'!$J:$J,'GL Data'!$B:$B,$A10)</f>
        <v>21.02</v>
      </c>
      <c r="I10" s="20">
        <f>-SUMIFS('GL Data'!$K:$K,'GL Data'!$B:$B,$A10)</f>
        <v>30.440000000000001</v>
      </c>
      <c r="J10" s="20">
        <f>-SUMIFS('GL Data'!$L:$L,'GL Data'!$B:$B,$A10)</f>
        <v>22.030000000000001</v>
      </c>
      <c r="K10" s="20">
        <f>-SUMIFS('GL Data'!$M:$M,'GL Data'!$B:$B,$A10)</f>
        <v>73.409999999999997</v>
      </c>
      <c r="L10" s="20">
        <f>-SUMIFS('GL Data'!$N:$N,'GL Data'!$B:$B,$A10)</f>
        <v>0</v>
      </c>
      <c r="M10" s="20">
        <f>-SUMIFS('GL Data'!$O:$O,'GL Data'!$B:$B,$A10)</f>
        <v>62.460000000000001</v>
      </c>
      <c r="N10" s="20">
        <f>-SUMIFS('GL Data'!$P:$P,'GL Data'!$B:$B,$A10)</f>
        <v>53.479999999999997</v>
      </c>
      <c r="O10" s="20">
        <f>-SUMIFS('GL Data'!$Q:$Q,'GL Data'!$B:$B,$A10)</f>
        <v>96.659999999999997</v>
      </c>
      <c r="P10" s="20">
        <f>-SUMIFS('GL Data'!$R:$R,'GL Data'!$B:$B,$A10)</f>
        <v>39.979999999999997</v>
      </c>
      <c r="Q10" s="20">
        <f>-SUMIFS('GL Data'!$S:$S,'GL Data'!$B:$B,$A10)</f>
        <v>88.420000000000002</v>
      </c>
      <c r="R10" s="20">
        <f>-SUMIFS('GL Data'!$T:$T,'GL Data'!$B:$B,$A10)</f>
        <v>8.6899999999999995</v>
      </c>
      <c r="S10" s="20">
        <f>-SUMIFS('GL Data'!$U:$U,'GL Data'!$B:$B,$A10)</f>
        <v>121.29000000000001</v>
      </c>
      <c r="T10" s="20">
        <f>-SUMIFS('GL Data'!$V:$V,'GL Data'!$B:$B,$A10)</f>
        <v>8.3900000000000006</v>
      </c>
      <c r="U10" s="20">
        <f>-SUMIFS('GL Data'!$W:$W,'GL Data'!$B:$B,$A10)</f>
        <v>8.4600000000000009</v>
      </c>
      <c r="V10" s="20">
        <f>-SUMIFS('GL Data'!$X:$X,'GL Data'!$B:$B,$A10)</f>
        <v>8.4100000000000001</v>
      </c>
      <c r="W10" s="20">
        <f>-SUMIFS('GL Data'!$Y:$Y,'GL Data'!$B:$B,$A10)</f>
        <v>0</v>
      </c>
      <c r="X10" s="20">
        <f>-SUMIFS('GL Data'!$Z:$Z,'GL Data'!$B:$B,$A10)</f>
        <v>19.82</v>
      </c>
      <c r="Y10" s="20">
        <f>-SUMIFS('GL Data'!$AA:$AA,'GL Data'!$B:$B,$A10)</f>
        <v>0</v>
      </c>
      <c r="Z10" s="20">
        <f>-SUMIFS('GL Data'!$AB:$AB,'GL Data'!$B:$B,$A10)</f>
        <v>0</v>
      </c>
      <c r="AA10" s="20">
        <f>-SUMIFS('GL Data'!$AC:$AC,'GL Data'!$B:$B,$A10)</f>
        <v>0</v>
      </c>
    </row>
    <row r="11" ht="15" customHeight="1">
      <c r="A11" s="19" t="inlineStr">
        <is>
          <t>Unapplied Cash Payments</t>
        </is>
      </c>
      <c r="C11" s="20">
        <f>-SUMIFS('GL Data'!$E:$E,'GL Data'!$B:$B,$A11)</f>
        <v>0</v>
      </c>
      <c r="D11" s="20">
        <f>-SUMIFS('GL Data'!$F:$F,'GL Data'!$B:$B,$A11)</f>
        <v>0</v>
      </c>
      <c r="E11" s="20">
        <f>-SUMIFS('GL Data'!$G:$G,'GL Data'!$B:$B,$A11)</f>
        <v>0</v>
      </c>
      <c r="F11" s="20">
        <f>-SUMIFS('GL Data'!$H:$H,'GL Data'!$B:$B,$A11)</f>
        <v>0</v>
      </c>
      <c r="G11" s="20">
        <f>-SUMIFS('GL Data'!$I:$I,'GL Data'!$B:$B,$A11)</f>
        <v>0</v>
      </c>
      <c r="H11" s="20">
        <f>-SUMIFS('GL Data'!$J:$J,'GL Data'!$B:$B,$A11)</f>
        <v>0</v>
      </c>
      <c r="I11" s="20">
        <f>-SUMIFS('GL Data'!$K:$K,'GL Data'!$B:$B,$A11)</f>
        <v>0</v>
      </c>
      <c r="J11" s="20">
        <f>-SUMIFS('GL Data'!$L:$L,'GL Data'!$B:$B,$A11)</f>
        <v>0</v>
      </c>
      <c r="K11" s="20">
        <f>-SUMIFS('GL Data'!$M:$M,'GL Data'!$B:$B,$A11)</f>
        <v>0</v>
      </c>
      <c r="L11" s="20">
        <f>-SUMIFS('GL Data'!$N:$N,'GL Data'!$B:$B,$A11)</f>
        <v>0</v>
      </c>
      <c r="M11" s="20">
        <f>-SUMIFS('GL Data'!$O:$O,'GL Data'!$B:$B,$A11)</f>
        <v>0</v>
      </c>
      <c r="N11" s="20">
        <f>-SUMIFS('GL Data'!$P:$P,'GL Data'!$B:$B,$A11)</f>
        <v>0</v>
      </c>
      <c r="O11" s="20">
        <f>-SUMIFS('GL Data'!$Q:$Q,'GL Data'!$B:$B,$A11)</f>
        <v>0</v>
      </c>
      <c r="P11" s="20">
        <f>-SUMIFS('GL Data'!$R:$R,'GL Data'!$B:$B,$A11)</f>
        <v>0</v>
      </c>
      <c r="Q11" s="20">
        <f>-SUMIFS('GL Data'!$S:$S,'GL Data'!$B:$B,$A11)</f>
        <v>-741.77999999999997</v>
      </c>
      <c r="R11" s="20">
        <f>-SUMIFS('GL Data'!$T:$T,'GL Data'!$B:$B,$A11)</f>
        <v>741.77999999999997</v>
      </c>
      <c r="S11" s="20">
        <f>-SUMIFS('GL Data'!$U:$U,'GL Data'!$B:$B,$A11)</f>
        <v>0</v>
      </c>
      <c r="T11" s="20">
        <f>-SUMIFS('GL Data'!$V:$V,'GL Data'!$B:$B,$A11)</f>
        <v>0</v>
      </c>
      <c r="U11" s="20">
        <f>-SUMIFS('GL Data'!$W:$W,'GL Data'!$B:$B,$A11)</f>
        <v>0</v>
      </c>
      <c r="V11" s="20">
        <f>-SUMIFS('GL Data'!$X:$X,'GL Data'!$B:$B,$A11)</f>
        <v>0</v>
      </c>
      <c r="W11" s="20">
        <f>-SUMIFS('GL Data'!$Y:$Y,'GL Data'!$B:$B,$A11)</f>
        <v>0</v>
      </c>
      <c r="X11" s="20">
        <f>-SUMIFS('GL Data'!$Z:$Z,'GL Data'!$B:$B,$A11)</f>
        <v>0</v>
      </c>
      <c r="Y11" s="20">
        <f>-SUMIFS('GL Data'!$AA:$AA,'GL Data'!$B:$B,$A11)</f>
        <v>0</v>
      </c>
      <c r="Z11" s="20">
        <f>-SUMIFS('GL Data'!$AB:$AB,'GL Data'!$B:$B,$A11)</f>
        <v>0</v>
      </c>
      <c r="AA11" s="20">
        <f>-SUMIFS('GL Data'!$AC:$AC,'GL Data'!$B:$B,$A11)</f>
        <v>0</v>
      </c>
    </row>
    <row r="12" ht="15" customHeight="1">
      <c r="A12" s="19" t="inlineStr">
        <is>
          <t>Other Miscellaneous Income</t>
        </is>
      </c>
      <c r="C12" s="20">
        <f>-SUMIFS('GL Data'!$E:$E,'GL Data'!$B:$B,$A12)</f>
        <v>0</v>
      </c>
      <c r="D12" s="20">
        <f>-SUMIFS('GL Data'!$F:$F,'GL Data'!$B:$B,$A12)</f>
        <v>0</v>
      </c>
      <c r="E12" s="20">
        <f>-SUMIFS('GL Data'!$G:$G,'GL Data'!$B:$B,$A12)</f>
        <v>0</v>
      </c>
      <c r="F12" s="20">
        <f>-SUMIFS('GL Data'!$H:$H,'GL Data'!$B:$B,$A12)</f>
        <v>0</v>
      </c>
      <c r="G12" s="20">
        <f>-SUMIFS('GL Data'!$I:$I,'GL Data'!$B:$B,$A12)</f>
        <v>0</v>
      </c>
      <c r="H12" s="20">
        <f>-SUMIFS('GL Data'!$J:$J,'GL Data'!$B:$B,$A12)</f>
        <v>0</v>
      </c>
      <c r="I12" s="20">
        <f>-SUMIFS('GL Data'!$K:$K,'GL Data'!$B:$B,$A12)</f>
        <v>0</v>
      </c>
      <c r="J12" s="20">
        <f>-SUMIFS('GL Data'!$L:$L,'GL Data'!$B:$B,$A12)</f>
        <v>0</v>
      </c>
      <c r="K12" s="20">
        <f>-SUMIFS('GL Data'!$M:$M,'GL Data'!$B:$B,$A12)</f>
        <v>0</v>
      </c>
      <c r="L12" s="20">
        <f>-SUMIFS('GL Data'!$N:$N,'GL Data'!$B:$B,$A12)</f>
        <v>0</v>
      </c>
      <c r="M12" s="20">
        <f>-SUMIFS('GL Data'!$O:$O,'GL Data'!$B:$B,$A12)</f>
        <v>0</v>
      </c>
      <c r="N12" s="20">
        <f>-SUMIFS('GL Data'!$P:$P,'GL Data'!$B:$B,$A12)</f>
        <v>135.81999999999999</v>
      </c>
      <c r="O12" s="20">
        <f>-SUMIFS('GL Data'!$Q:$Q,'GL Data'!$B:$B,$A12)</f>
        <v>0</v>
      </c>
      <c r="P12" s="20">
        <f>-SUMIFS('GL Data'!$R:$R,'GL Data'!$B:$B,$A12)</f>
        <v>0</v>
      </c>
      <c r="Q12" s="20">
        <f>-SUMIFS('GL Data'!$S:$S,'GL Data'!$B:$B,$A12)</f>
        <v>0</v>
      </c>
      <c r="R12" s="20">
        <f>-SUMIFS('GL Data'!$T:$T,'GL Data'!$B:$B,$A12)</f>
        <v>0</v>
      </c>
      <c r="S12" s="20">
        <f>-SUMIFS('GL Data'!$U:$U,'GL Data'!$B:$B,$A12)</f>
        <v>0</v>
      </c>
      <c r="T12" s="20">
        <f>-SUMIFS('GL Data'!$V:$V,'GL Data'!$B:$B,$A12)</f>
        <v>0</v>
      </c>
      <c r="U12" s="20">
        <f>-SUMIFS('GL Data'!$W:$W,'GL Data'!$B:$B,$A12)</f>
        <v>0</v>
      </c>
      <c r="V12" s="20">
        <f>-SUMIFS('GL Data'!$X:$X,'GL Data'!$B:$B,$A12)</f>
        <v>0</v>
      </c>
      <c r="W12" s="20">
        <f>-SUMIFS('GL Data'!$Y:$Y,'GL Data'!$B:$B,$A12)</f>
        <v>0</v>
      </c>
      <c r="X12" s="20">
        <f>-SUMIFS('GL Data'!$Z:$Z,'GL Data'!$B:$B,$A12)</f>
        <v>0</v>
      </c>
      <c r="Y12" s="20">
        <f>-SUMIFS('GL Data'!$AA:$AA,'GL Data'!$B:$B,$A12)</f>
        <v>0</v>
      </c>
      <c r="Z12" s="20">
        <f>-SUMIFS('GL Data'!$AB:$AB,'GL Data'!$B:$B,$A12)</f>
        <v>0</v>
      </c>
      <c r="AA12" s="20">
        <f>-SUMIFS('GL Data'!$AC:$AC,'GL Data'!$B:$B,$A12)</f>
        <v>0</v>
      </c>
    </row>
    <row r="13" ht="15" customHeight="1">
      <c r="A13" s="19" t="inlineStr">
        <is>
          <t>Discounts</t>
        </is>
      </c>
      <c r="C13" s="20">
        <f>-SUMIFS('GL Data'!$E:$E,'GL Data'!$B:$B,$A13)</f>
        <v>-1260</v>
      </c>
      <c r="D13" s="20">
        <f>-SUMIFS('GL Data'!$F:$F,'GL Data'!$B:$B,$A13)</f>
        <v>-1578</v>
      </c>
      <c r="E13" s="20">
        <f>-SUMIFS('GL Data'!$G:$G,'GL Data'!$B:$B,$A13)</f>
        <v>-1800</v>
      </c>
      <c r="F13" s="20">
        <f>-SUMIFS('GL Data'!$H:$H,'GL Data'!$B:$B,$A13)</f>
        <v>-2160</v>
      </c>
      <c r="G13" s="20">
        <f>-SUMIFS('GL Data'!$I:$I,'GL Data'!$B:$B,$A13)</f>
        <v>-1125</v>
      </c>
      <c r="H13" s="20">
        <f>-SUMIFS('GL Data'!$J:$J,'GL Data'!$B:$B,$A13)</f>
        <v>-1500</v>
      </c>
      <c r="I13" s="20">
        <f>-SUMIFS('GL Data'!$K:$K,'GL Data'!$B:$B,$A13)</f>
        <v>-2610</v>
      </c>
      <c r="J13" s="20">
        <f>-SUMIFS('GL Data'!$L:$L,'GL Data'!$B:$B,$A13)</f>
        <v>-750</v>
      </c>
      <c r="K13" s="20">
        <f>-SUMIFS('GL Data'!$M:$M,'GL Data'!$B:$B,$A13)</f>
        <v>-1500</v>
      </c>
      <c r="L13" s="20">
        <f>-SUMIFS('GL Data'!$N:$N,'GL Data'!$B:$B,$A13)</f>
        <v>-1050</v>
      </c>
      <c r="M13" s="20">
        <f>-SUMIFS('GL Data'!$O:$O,'GL Data'!$B:$B,$A13)</f>
        <v>-1410</v>
      </c>
      <c r="N13" s="20">
        <f>-SUMIFS('GL Data'!$P:$P,'GL Data'!$B:$B,$A13)</f>
        <v>-2328</v>
      </c>
      <c r="O13" s="20">
        <f>-SUMIFS('GL Data'!$Q:$Q,'GL Data'!$B:$B,$A13)</f>
        <v>-600</v>
      </c>
      <c r="P13" s="20">
        <f>-SUMIFS('GL Data'!$R:$R,'GL Data'!$B:$B,$A13)</f>
        <v>-1638</v>
      </c>
      <c r="Q13" s="20">
        <f>-SUMIFS('GL Data'!$S:$S,'GL Data'!$B:$B,$A13)</f>
        <v>-1500</v>
      </c>
      <c r="R13" s="20">
        <f>-SUMIFS('GL Data'!$T:$T,'GL Data'!$B:$B,$A13)</f>
        <v>-1128</v>
      </c>
      <c r="S13" s="20">
        <f>-SUMIFS('GL Data'!$U:$U,'GL Data'!$B:$B,$A13)</f>
        <v>-3060.5</v>
      </c>
      <c r="T13" s="20">
        <f>-SUMIFS('GL Data'!$V:$V,'GL Data'!$B:$B,$A13)</f>
        <v>-2556</v>
      </c>
      <c r="U13" s="20">
        <f>-SUMIFS('GL Data'!$W:$W,'GL Data'!$B:$B,$A13)</f>
        <v>-1728</v>
      </c>
      <c r="V13" s="20">
        <f>-SUMIFS('GL Data'!$X:$X,'GL Data'!$B:$B,$A13)</f>
        <v>-3804</v>
      </c>
      <c r="W13" s="20">
        <f>-SUMIFS('GL Data'!$Y:$Y,'GL Data'!$B:$B,$A13)</f>
        <v>-2028</v>
      </c>
      <c r="X13" s="20">
        <f>-SUMIFS('GL Data'!$Z:$Z,'GL Data'!$B:$B,$A13)</f>
        <v>-828</v>
      </c>
      <c r="Y13" s="20">
        <f>-SUMIFS('GL Data'!$AA:$AA,'GL Data'!$B:$B,$A13)</f>
        <v>-1788</v>
      </c>
      <c r="Z13" s="20">
        <f>-SUMIFS('GL Data'!$AB:$AB,'GL Data'!$B:$B,$A13)</f>
        <v>-2378</v>
      </c>
      <c r="AA13" s="20">
        <f>-SUMIFS('GL Data'!$AC:$AC,'GL Data'!$B:$B,$A13)</f>
        <v>-350</v>
      </c>
    </row>
    <row r="14" ht="15" customHeight="1">
      <c r="A14" s="19" t="inlineStr">
        <is>
          <t>Refunds</t>
        </is>
      </c>
      <c r="C14" s="20">
        <f>-SUMIFS('GL Data'!$E:$E,'GL Data'!$B:$B,$A14)</f>
        <v>-1280</v>
      </c>
      <c r="D14" s="20">
        <f>-SUMIFS('GL Data'!$F:$F,'GL Data'!$B:$B,$A14)</f>
        <v>-1500</v>
      </c>
      <c r="E14" s="20">
        <f>-SUMIFS('GL Data'!$G:$G,'GL Data'!$B:$B,$A14)</f>
        <v>-880</v>
      </c>
      <c r="F14" s="20">
        <f>-SUMIFS('GL Data'!$H:$H,'GL Data'!$B:$B,$A14)</f>
        <v>0</v>
      </c>
      <c r="G14" s="20">
        <f>-SUMIFS('GL Data'!$I:$I,'GL Data'!$B:$B,$A14)</f>
        <v>0</v>
      </c>
      <c r="H14" s="20">
        <f>-SUMIFS('GL Data'!$J:$J,'GL Data'!$B:$B,$A14)</f>
        <v>0</v>
      </c>
      <c r="I14" s="20">
        <f>-SUMIFS('GL Data'!$K:$K,'GL Data'!$B:$B,$A14)</f>
        <v>0</v>
      </c>
      <c r="J14" s="20">
        <f>-SUMIFS('GL Data'!$L:$L,'GL Data'!$B:$B,$A14)</f>
        <v>0</v>
      </c>
      <c r="K14" s="20">
        <f>-SUMIFS('GL Data'!$M:$M,'GL Data'!$B:$B,$A14)</f>
        <v>0</v>
      </c>
      <c r="L14" s="20">
        <f>-SUMIFS('GL Data'!$N:$N,'GL Data'!$B:$B,$A14)</f>
        <v>0</v>
      </c>
      <c r="M14" s="20">
        <f>-SUMIFS('GL Data'!$O:$O,'GL Data'!$B:$B,$A14)</f>
        <v>-1000</v>
      </c>
      <c r="N14" s="20">
        <f>-SUMIFS('GL Data'!$P:$P,'GL Data'!$B:$B,$A14)</f>
        <v>-50</v>
      </c>
      <c r="O14" s="20">
        <f>-SUMIFS('GL Data'!$Q:$Q,'GL Data'!$B:$B,$A14)</f>
        <v>-498</v>
      </c>
      <c r="P14" s="20">
        <f>-SUMIFS('GL Data'!$R:$R,'GL Data'!$B:$B,$A14)</f>
        <v>-780</v>
      </c>
      <c r="Q14" s="20">
        <f>-SUMIFS('GL Data'!$S:$S,'GL Data'!$B:$B,$A14)</f>
        <v>-500</v>
      </c>
      <c r="R14" s="20">
        <f>-SUMIFS('GL Data'!$T:$T,'GL Data'!$B:$B,$A14)</f>
        <v>-598.10000000000002</v>
      </c>
      <c r="S14" s="20">
        <f>-SUMIFS('GL Data'!$U:$U,'GL Data'!$B:$B,$A14)</f>
        <v>-500</v>
      </c>
      <c r="T14" s="20">
        <f>-SUMIFS('GL Data'!$V:$V,'GL Data'!$B:$B,$A14)</f>
        <v>0</v>
      </c>
      <c r="U14" s="20">
        <f>-SUMIFS('GL Data'!$W:$W,'GL Data'!$B:$B,$A14)</f>
        <v>0</v>
      </c>
      <c r="V14" s="20">
        <f>-SUMIFS('GL Data'!$X:$X,'GL Data'!$B:$B,$A14)</f>
        <v>-150</v>
      </c>
      <c r="W14" s="20">
        <f>-SUMIFS('GL Data'!$Y:$Y,'GL Data'!$B:$B,$A14)</f>
        <v>0</v>
      </c>
      <c r="X14" s="20">
        <f>-SUMIFS('GL Data'!$Z:$Z,'GL Data'!$B:$B,$A14)</f>
        <v>-2136.1999999999998</v>
      </c>
      <c r="Y14" s="20">
        <f>-SUMIFS('GL Data'!$AA:$AA,'GL Data'!$B:$B,$A14)</f>
        <v>-5095.9899999999998</v>
      </c>
      <c r="Z14" s="20">
        <f>-SUMIFS('GL Data'!$AB:$AB,'GL Data'!$B:$B,$A14)</f>
        <v>-1000</v>
      </c>
      <c r="AA14" s="20">
        <f>-SUMIFS('GL Data'!$AC:$AC,'GL Data'!$B:$B,$A14)</f>
        <v>0</v>
      </c>
    </row>
    <row r="15" ht="15" customHeight="1">
      <c r="A15" s="21" t="inlineStr">
        <is>
          <t>Net Revenue</t>
        </is>
      </c>
      <c r="C15" s="22">
        <f>SUM(C9:C14)</f>
        <v>65519.539999999994</v>
      </c>
      <c r="D15" s="22">
        <f>SUM(D9:D14)</f>
        <v>78557.470000000001</v>
      </c>
      <c r="E15" s="22">
        <f>SUM(E9:E14)</f>
        <v>69444.899999999994</v>
      </c>
      <c r="F15" s="22">
        <f>SUM(F9:F14)</f>
        <v>69420.320000000007</v>
      </c>
      <c r="G15" s="22">
        <f>SUM(G9:G14)</f>
        <v>74602.660000000003</v>
      </c>
      <c r="H15" s="22">
        <f>SUM(H9:H14)</f>
        <v>69554.580000000002</v>
      </c>
      <c r="I15" s="22">
        <f>SUM(I9:I14)</f>
        <v>68302.350000000006</v>
      </c>
      <c r="J15" s="22">
        <f>SUM(J9:J14)</f>
        <v>65585.419999999998</v>
      </c>
      <c r="K15" s="22">
        <f>SUM(K9:K14)</f>
        <v>60492.460000000006</v>
      </c>
      <c r="L15" s="22">
        <f>SUM(L9:L14)</f>
        <v>68435.320000000007</v>
      </c>
      <c r="M15" s="22">
        <f>SUM(M9:M14)</f>
        <v>75100.790000000008</v>
      </c>
      <c r="N15" s="22">
        <f>SUM(N9:N14)</f>
        <v>81083.710000000006</v>
      </c>
      <c r="O15" s="22">
        <f>SUM(O9:O14)</f>
        <v>54986.160000000003</v>
      </c>
      <c r="P15" s="22">
        <f>SUM(P9:P14)</f>
        <v>94903.209999999992</v>
      </c>
      <c r="Q15" s="22">
        <f>SUM(Q9:Q14)</f>
        <v>62577.400000000001</v>
      </c>
      <c r="R15" s="22">
        <f>SUM(R9:R14)</f>
        <v>77731.279999999999</v>
      </c>
      <c r="S15" s="22">
        <f>SUM(S9:S14)</f>
        <v>94832.539999999994</v>
      </c>
      <c r="T15" s="22">
        <f>SUM(T9:T14)</f>
        <v>80735.759999999995</v>
      </c>
      <c r="U15" s="22">
        <f>SUM(U9:U14)</f>
        <v>79398.360000000001</v>
      </c>
      <c r="V15" s="22">
        <f>SUM(V9:V14)</f>
        <v>91896.650000000009</v>
      </c>
      <c r="W15" s="22">
        <f>SUM(W9:W14)</f>
        <v>63668.460000000006</v>
      </c>
      <c r="X15" s="22">
        <f>SUM(X9:X14)</f>
        <v>66863.060000000012</v>
      </c>
      <c r="Y15" s="22">
        <f>SUM(Y9:Y14)</f>
        <v>89221.929999999993</v>
      </c>
      <c r="Z15" s="22">
        <f>SUM(Z9:Z14)</f>
        <v>76717.389999999999</v>
      </c>
      <c r="AA15" s="22">
        <f>SUM(AA9:AA14)</f>
        <v>64127.220000000001</v>
      </c>
    </row>
    <row r="17" ht="15" customHeight="1">
      <c r="A17" s="2" t="inlineStr">
        <is>
          <t>Cost of Services</t>
        </is>
      </c>
    </row>
    <row r="18" ht="15" customHeight="1">
      <c r="A18" s="19" t="inlineStr">
        <is>
          <t>Contractors - Client Hours</t>
        </is>
      </c>
      <c r="C18" s="20">
        <f>SUMIFS('GL Data'!$E:$E,'GL Data'!$B:$B,$A18)</f>
        <v>19394.040000000001</v>
      </c>
      <c r="D18" s="20">
        <f>SUMIFS('GL Data'!$F:$F,'GL Data'!$B:$B,$A18)</f>
        <v>18266.330000000002</v>
      </c>
      <c r="E18" s="20">
        <f>SUMIFS('GL Data'!$G:$G,'GL Data'!$B:$B,$A18)</f>
        <v>20915.869999999999</v>
      </c>
      <c r="F18" s="20">
        <f>SUMIFS('GL Data'!$H:$H,'GL Data'!$B:$B,$A18)</f>
        <v>20818.060000000001</v>
      </c>
      <c r="G18" s="20">
        <f>SUMIFS('GL Data'!$I:$I,'GL Data'!$B:$B,$A18)</f>
        <v>22253.110000000001</v>
      </c>
      <c r="H18" s="20">
        <f>SUMIFS('GL Data'!$J:$J,'GL Data'!$B:$B,$A18)</f>
        <v>21849.939999999999</v>
      </c>
      <c r="I18" s="20">
        <f>SUMIFS('GL Data'!$K:$K,'GL Data'!$B:$B,$A18)</f>
        <v>18495.84</v>
      </c>
      <c r="J18" s="20">
        <f>SUMIFS('GL Data'!$L:$L,'GL Data'!$B:$B,$A18)</f>
        <v>17320.709999999999</v>
      </c>
      <c r="K18" s="20">
        <f>SUMIFS('GL Data'!$M:$M,'GL Data'!$B:$B,$A18)</f>
        <v>19492.66</v>
      </c>
      <c r="L18" s="20">
        <f>SUMIFS('GL Data'!$N:$N,'GL Data'!$B:$B,$A18)</f>
        <v>18326.41</v>
      </c>
      <c r="M18" s="20">
        <f>SUMIFS('GL Data'!$O:$O,'GL Data'!$B:$B,$A18)</f>
        <v>20629.360000000001</v>
      </c>
      <c r="N18" s="20">
        <f>SUMIFS('GL Data'!$P:$P,'GL Data'!$B:$B,$A18)</f>
        <v>21453.48</v>
      </c>
      <c r="O18" s="20">
        <f>SUMIFS('GL Data'!$Q:$Q,'GL Data'!$B:$B,$A18)</f>
        <v>21869.939999999999</v>
      </c>
      <c r="P18" s="20">
        <f>SUMIFS('GL Data'!$R:$R,'GL Data'!$B:$B,$A18)</f>
        <v>21439.57</v>
      </c>
      <c r="Q18" s="20">
        <f>SUMIFS('GL Data'!$S:$S,'GL Data'!$B:$B,$A18)</f>
        <v>25115.950000000001</v>
      </c>
      <c r="R18" s="20">
        <f>SUMIFS('GL Data'!$T:$T,'GL Data'!$B:$B,$A18)</f>
        <v>24359.34</v>
      </c>
      <c r="S18" s="20">
        <f>SUMIFS('GL Data'!$U:$U,'GL Data'!$B:$B,$A18)</f>
        <v>24557.02</v>
      </c>
      <c r="T18" s="20">
        <f>SUMIFS('GL Data'!$V:$V,'GL Data'!$B:$B,$A18)</f>
        <v>23570.34</v>
      </c>
      <c r="U18" s="20">
        <f>SUMIFS('GL Data'!$W:$W,'GL Data'!$B:$B,$A18)</f>
        <v>21932.709999999999</v>
      </c>
      <c r="V18" s="20">
        <f>SUMIFS('GL Data'!$X:$X,'GL Data'!$B:$B,$A18)</f>
        <v>21068.200000000001</v>
      </c>
      <c r="W18" s="20">
        <f>SUMIFS('GL Data'!$Y:$Y,'GL Data'!$B:$B,$A18)</f>
        <v>24105.049999999999</v>
      </c>
      <c r="X18" s="20">
        <f>SUMIFS('GL Data'!$Z:$Z,'GL Data'!$B:$B,$A18)</f>
        <v>21329.32</v>
      </c>
      <c r="Y18" s="20">
        <f>SUMIFS('GL Data'!$AA:$AA,'GL Data'!$B:$B,$A18)</f>
        <v>23432.68</v>
      </c>
      <c r="Z18" s="20">
        <f>SUMIFS('GL Data'!$AB:$AB,'GL Data'!$B:$B,$A18)</f>
        <v>22967.150000000001</v>
      </c>
      <c r="AA18" s="20">
        <f>SUMIFS('GL Data'!$AC:$AC,'GL Data'!$B:$B,$A18)</f>
        <v>22258.75</v>
      </c>
    </row>
    <row r="19" ht="15" customHeight="1">
      <c r="A19" s="19" t="inlineStr">
        <is>
          <t>Contractors - Idle Time</t>
        </is>
      </c>
      <c r="C19" s="20">
        <f>SUMIFS('GL Data'!$E:$E,'GL Data'!$B:$B,$A19)</f>
        <v>1166.3599999999999</v>
      </c>
      <c r="D19" s="20">
        <f>SUMIFS('GL Data'!$F:$F,'GL Data'!$B:$B,$A19)</f>
        <v>817.49000000000001</v>
      </c>
      <c r="E19" s="20">
        <f>SUMIFS('GL Data'!$G:$G,'GL Data'!$B:$B,$A19)</f>
        <v>899.15999999999997</v>
      </c>
      <c r="F19" s="20">
        <f>SUMIFS('GL Data'!$H:$H,'GL Data'!$B:$B,$A19)</f>
        <v>668.05999999999995</v>
      </c>
      <c r="G19" s="20">
        <f>SUMIFS('GL Data'!$I:$I,'GL Data'!$B:$B,$A19)</f>
        <v>763.65999999999997</v>
      </c>
      <c r="H19" s="20">
        <f>SUMIFS('GL Data'!$J:$J,'GL Data'!$B:$B,$A19)</f>
        <v>1547.3199999999999</v>
      </c>
      <c r="I19" s="20">
        <f>SUMIFS('GL Data'!$K:$K,'GL Data'!$B:$B,$A19)</f>
        <v>1484.27</v>
      </c>
      <c r="J19" s="20">
        <f>SUMIFS('GL Data'!$L:$L,'GL Data'!$B:$B,$A19)</f>
        <v>985.85000000000002</v>
      </c>
      <c r="K19" s="20">
        <f>SUMIFS('GL Data'!$M:$M,'GL Data'!$B:$B,$A19)</f>
        <v>856.37</v>
      </c>
      <c r="L19" s="20">
        <f>SUMIFS('GL Data'!$N:$N,'GL Data'!$B:$B,$A19)</f>
        <v>1072.8499999999999</v>
      </c>
      <c r="M19" s="20">
        <f>SUMIFS('GL Data'!$O:$O,'GL Data'!$B:$B,$A19)</f>
        <v>617.86000000000001</v>
      </c>
      <c r="N19" s="20">
        <f>SUMIFS('GL Data'!$P:$P,'GL Data'!$B:$B,$A19)</f>
        <v>534.88999999999999</v>
      </c>
      <c r="O19" s="20">
        <f>SUMIFS('GL Data'!$Q:$Q,'GL Data'!$B:$B,$A19)</f>
        <v>732.63</v>
      </c>
      <c r="P19" s="20">
        <f>SUMIFS('GL Data'!$R:$R,'GL Data'!$B:$B,$A19)</f>
        <v>1252.22</v>
      </c>
      <c r="Q19" s="20">
        <f>SUMIFS('GL Data'!$S:$S,'GL Data'!$B:$B,$A19)</f>
        <v>1004.05</v>
      </c>
      <c r="R19" s="20">
        <f>SUMIFS('GL Data'!$T:$T,'GL Data'!$B:$B,$A19)</f>
        <v>1130.9300000000001</v>
      </c>
      <c r="S19" s="20">
        <f>SUMIFS('GL Data'!$U:$U,'GL Data'!$B:$B,$A19)</f>
        <v>974.10000000000002</v>
      </c>
      <c r="T19" s="20">
        <f>SUMIFS('GL Data'!$V:$V,'GL Data'!$B:$B,$A19)</f>
        <v>1300.1800000000001</v>
      </c>
      <c r="U19" s="20">
        <f>SUMIFS('GL Data'!$W:$W,'GL Data'!$B:$B,$A19)</f>
        <v>1260.22</v>
      </c>
      <c r="V19" s="20">
        <f>SUMIFS('GL Data'!$X:$X,'GL Data'!$B:$B,$A19)</f>
        <v>1062.8099999999999</v>
      </c>
      <c r="W19" s="20">
        <f>SUMIFS('GL Data'!$Y:$Y,'GL Data'!$B:$B,$A19)</f>
        <v>1311.04</v>
      </c>
      <c r="X19" s="20">
        <f>SUMIFS('GL Data'!$Z:$Z,'GL Data'!$B:$B,$A19)</f>
        <v>1443.6800000000001</v>
      </c>
      <c r="Y19" s="20">
        <f>SUMIFS('GL Data'!$AA:$AA,'GL Data'!$B:$B,$A19)</f>
        <v>1059.3900000000001</v>
      </c>
      <c r="Z19" s="20">
        <f>SUMIFS('GL Data'!$AB:$AB,'GL Data'!$B:$B,$A19)</f>
        <v>1295.6500000000001</v>
      </c>
      <c r="AA19" s="20">
        <f>SUMIFS('GL Data'!$AC:$AC,'GL Data'!$B:$B,$A19)</f>
        <v>701.82000000000005</v>
      </c>
    </row>
    <row r="20" ht="15" customHeight="1">
      <c r="A20" s="19" t="inlineStr">
        <is>
          <t>Contractors - Others</t>
        </is>
      </c>
      <c r="C20" s="20">
        <f>SUMIFS('GL Data'!$E:$E,'GL Data'!$B:$B,$A20)</f>
        <v>7834.29</v>
      </c>
      <c r="D20" s="20">
        <f>SUMIFS('GL Data'!$F:$F,'GL Data'!$B:$B,$A20)</f>
        <v>6064.6999999999998</v>
      </c>
      <c r="E20" s="20">
        <f>SUMIFS('GL Data'!$G:$G,'GL Data'!$B:$B,$A20)</f>
        <v>4091.3400000000001</v>
      </c>
      <c r="F20" s="20">
        <f>SUMIFS('GL Data'!$H:$H,'GL Data'!$B:$B,$A20)</f>
        <v>3818.8600000000001</v>
      </c>
      <c r="G20" s="20">
        <f>SUMIFS('GL Data'!$I:$I,'GL Data'!$B:$B,$A20)</f>
        <v>3589.5</v>
      </c>
      <c r="H20" s="20">
        <f>SUMIFS('GL Data'!$J:$J,'GL Data'!$B:$B,$A20)</f>
        <v>3313.2399999999998</v>
      </c>
      <c r="I20" s="20">
        <f>SUMIFS('GL Data'!$K:$K,'GL Data'!$B:$B,$A20)</f>
        <v>3575.3200000000002</v>
      </c>
      <c r="J20" s="20">
        <f>SUMIFS('GL Data'!$L:$L,'GL Data'!$B:$B,$A20)</f>
        <v>7481.9200000000001</v>
      </c>
      <c r="K20" s="20">
        <f>SUMIFS('GL Data'!$M:$M,'GL Data'!$B:$B,$A20)</f>
        <v>3575.3200000000002</v>
      </c>
      <c r="L20" s="20">
        <f>SUMIFS('GL Data'!$N:$N,'GL Data'!$B:$B,$A20)</f>
        <v>2981.4099999999999</v>
      </c>
      <c r="M20" s="20">
        <f>SUMIFS('GL Data'!$O:$O,'GL Data'!$B:$B,$A20)</f>
        <v>3675.9099999999999</v>
      </c>
      <c r="N20" s="20">
        <f>SUMIFS('GL Data'!$P:$P,'GL Data'!$B:$B,$A20)</f>
        <v>3134.7199999999998</v>
      </c>
      <c r="O20" s="20">
        <f>SUMIFS('GL Data'!$Q:$Q,'GL Data'!$B:$B,$A20)</f>
        <v>2707.3000000000002</v>
      </c>
      <c r="P20" s="20">
        <f>SUMIFS('GL Data'!$R:$R,'GL Data'!$B:$B,$A20)</f>
        <v>2899.9099999999999</v>
      </c>
      <c r="Q20" s="20">
        <f>SUMIFS('GL Data'!$S:$S,'GL Data'!$B:$B,$A20)</f>
        <v>4162.3800000000001</v>
      </c>
      <c r="R20" s="20">
        <f>SUMIFS('GL Data'!$T:$T,'GL Data'!$B:$B,$A20)</f>
        <v>3519.6399999999999</v>
      </c>
      <c r="S20" s="20">
        <f>SUMIFS('GL Data'!$U:$U,'GL Data'!$B:$B,$A20)</f>
        <v>3252.98</v>
      </c>
      <c r="T20" s="20">
        <f>SUMIFS('GL Data'!$V:$V,'GL Data'!$B:$B,$A20)</f>
        <v>3797.6100000000001</v>
      </c>
      <c r="U20" s="20">
        <f>SUMIFS('GL Data'!$W:$W,'GL Data'!$B:$B,$A20)</f>
        <v>4713.4399999999996</v>
      </c>
      <c r="V20" s="20">
        <f>SUMIFS('GL Data'!$X:$X,'GL Data'!$B:$B,$A20)</f>
        <v>6541.9899999999998</v>
      </c>
      <c r="W20" s="20">
        <f>SUMIFS('GL Data'!$Y:$Y,'GL Data'!$B:$B,$A20)</f>
        <v>3330.0300000000002</v>
      </c>
      <c r="X20" s="20">
        <f>SUMIFS('GL Data'!$Z:$Z,'GL Data'!$B:$B,$A20)</f>
        <v>3372.9499999999998</v>
      </c>
      <c r="Y20" s="20">
        <f>SUMIFS('GL Data'!$AA:$AA,'GL Data'!$B:$B,$A20)</f>
        <v>4847.3199999999997</v>
      </c>
      <c r="Z20" s="20">
        <f>SUMIFS('GL Data'!$AB:$AB,'GL Data'!$B:$B,$A20)</f>
        <v>3915.98</v>
      </c>
      <c r="AA20" s="20">
        <f>SUMIFS('GL Data'!$AC:$AC,'GL Data'!$B:$B,$A20)</f>
        <v>3525.4000000000001</v>
      </c>
    </row>
    <row r="21" ht="15" customHeight="1">
      <c r="A21" s="19" t="inlineStr">
        <is>
          <t>VA Incentives</t>
        </is>
      </c>
      <c r="C21" s="20">
        <f>SUMIFS('GL Data'!$E:$E,'GL Data'!$B:$B,$A21)</f>
        <v>247.84999999999999</v>
      </c>
      <c r="D21" s="20">
        <f>SUMIFS('GL Data'!$F:$F,'GL Data'!$B:$B,$A21)</f>
        <v>354.06</v>
      </c>
      <c r="E21" s="20">
        <f>SUMIFS('GL Data'!$G:$G,'GL Data'!$B:$B,$A21)</f>
        <v>309.98000000000002</v>
      </c>
      <c r="F21" s="20">
        <f>SUMIFS('GL Data'!$H:$H,'GL Data'!$B:$B,$A21)</f>
        <v>50.560000000000002</v>
      </c>
      <c r="G21" s="20">
        <f>SUMIFS('GL Data'!$I:$I,'GL Data'!$B:$B,$A21)</f>
        <v>409.58999999999997</v>
      </c>
      <c r="H21" s="20">
        <f>SUMIFS('GL Data'!$J:$J,'GL Data'!$B:$B,$A21)</f>
        <v>126.09999999999999</v>
      </c>
      <c r="I21" s="20">
        <f>SUMIFS('GL Data'!$K:$K,'GL Data'!$B:$B,$A21)</f>
        <v>278.27999999999997</v>
      </c>
      <c r="J21" s="20">
        <f>SUMIFS('GL Data'!$L:$L,'GL Data'!$B:$B,$A21)</f>
        <v>257.19999999999999</v>
      </c>
      <c r="K21" s="20">
        <f>SUMIFS('GL Data'!$M:$M,'GL Data'!$B:$B,$A21)</f>
        <v>252.19</v>
      </c>
      <c r="L21" s="20">
        <f>SUMIFS('GL Data'!$N:$N,'GL Data'!$B:$B,$A21)</f>
        <v>111.06999999999999</v>
      </c>
      <c r="M21" s="20">
        <f>SUMIFS('GL Data'!$O:$O,'GL Data'!$B:$B,$A21)</f>
        <v>476.68000000000001</v>
      </c>
      <c r="N21" s="20">
        <f>SUMIFS('GL Data'!$P:$P,'GL Data'!$B:$B,$A21)</f>
        <v>85.670000000000002</v>
      </c>
      <c r="O21" s="20">
        <f>SUMIFS('GL Data'!$Q:$Q,'GL Data'!$B:$B,$A21)</f>
        <v>206.88999999999999</v>
      </c>
      <c r="P21" s="20">
        <f>SUMIFS('GL Data'!$R:$R,'GL Data'!$B:$B,$A21)</f>
        <v>714.82000000000005</v>
      </c>
      <c r="Q21" s="20">
        <f>SUMIFS('GL Data'!$S:$S,'GL Data'!$B:$B,$A21)</f>
        <v>297.30000000000001</v>
      </c>
      <c r="R21" s="20">
        <f>SUMIFS('GL Data'!$T:$T,'GL Data'!$B:$B,$A21)</f>
        <v>105.81</v>
      </c>
      <c r="S21" s="20">
        <f>SUMIFS('GL Data'!$U:$U,'GL Data'!$B:$B,$A21)</f>
        <v>472.44999999999999</v>
      </c>
      <c r="T21" s="20">
        <f>SUMIFS('GL Data'!$V:$V,'GL Data'!$B:$B,$A21)</f>
        <v>242.06999999999999</v>
      </c>
      <c r="U21" s="20">
        <f>SUMIFS('GL Data'!$W:$W,'GL Data'!$B:$B,$A21)</f>
        <v>140.88</v>
      </c>
      <c r="V21" s="20">
        <f>SUMIFS('GL Data'!$X:$X,'GL Data'!$B:$B,$A21)</f>
        <v>466.66000000000003</v>
      </c>
      <c r="W21" s="20">
        <f>SUMIFS('GL Data'!$Y:$Y,'GL Data'!$B:$B,$A21)</f>
        <v>302.49000000000001</v>
      </c>
      <c r="X21" s="20">
        <f>SUMIFS('GL Data'!$Z:$Z,'GL Data'!$B:$B,$A21)</f>
        <v>116.64</v>
      </c>
      <c r="Y21" s="20">
        <f>SUMIFS('GL Data'!$AA:$AA,'GL Data'!$B:$B,$A21)</f>
        <v>711.88</v>
      </c>
      <c r="Z21" s="20">
        <f>SUMIFS('GL Data'!$AB:$AB,'GL Data'!$B:$B,$A21)</f>
        <v>157.59</v>
      </c>
      <c r="AA21" s="20">
        <f>SUMIFS('GL Data'!$AC:$AC,'GL Data'!$B:$B,$A21)</f>
        <v>236.81</v>
      </c>
    </row>
    <row r="22" ht="15" customHeight="1">
      <c r="A22" s="21" t="inlineStr">
        <is>
          <t>Total Cost of Services</t>
        </is>
      </c>
      <c r="C22" s="22">
        <f>SUM(C18:C21)</f>
        <v>28642.540000000001</v>
      </c>
      <c r="D22" s="22">
        <f>SUM(D18:D21)</f>
        <v>25502.580000000005</v>
      </c>
      <c r="E22" s="22">
        <f>SUM(E18:E21)</f>
        <v>26216.349999999999</v>
      </c>
      <c r="F22" s="22">
        <f>SUM(F18:F21)</f>
        <v>25355.540000000005</v>
      </c>
      <c r="G22" s="22">
        <f>SUM(G18:G21)</f>
        <v>27015.860000000001</v>
      </c>
      <c r="H22" s="22">
        <f>SUM(H18:H21)</f>
        <v>26836.599999999999</v>
      </c>
      <c r="I22" s="22">
        <f>SUM(I18:I21)</f>
        <v>23833.709999999999</v>
      </c>
      <c r="J22" s="22">
        <f>SUM(J18:J21)</f>
        <v>26045.679999999997</v>
      </c>
      <c r="K22" s="22">
        <f>SUM(K18:K21)</f>
        <v>24176.539999999997</v>
      </c>
      <c r="L22" s="22">
        <f>SUM(L18:L21)</f>
        <v>22491.739999999998</v>
      </c>
      <c r="M22" s="22">
        <f>SUM(M18:M21)</f>
        <v>25399.810000000001</v>
      </c>
      <c r="N22" s="22">
        <f>SUM(N18:N21)</f>
        <v>25208.759999999998</v>
      </c>
      <c r="O22" s="22">
        <f>SUM(O18:O21)</f>
        <v>25516.759999999998</v>
      </c>
      <c r="P22" s="22">
        <f>SUM(P18:P21)</f>
        <v>26306.52</v>
      </c>
      <c r="Q22" s="22">
        <f>SUM(Q18:Q21)</f>
        <v>30579.68</v>
      </c>
      <c r="R22" s="22">
        <f>SUM(R18:R21)</f>
        <v>29115.720000000001</v>
      </c>
      <c r="S22" s="22">
        <f>SUM(S18:S21)</f>
        <v>29256.549999999999</v>
      </c>
      <c r="T22" s="22">
        <f>SUM(T18:T21)</f>
        <v>28910.200000000001</v>
      </c>
      <c r="U22" s="22">
        <f>SUM(U18:U21)</f>
        <v>28047.25</v>
      </c>
      <c r="V22" s="22">
        <f>SUM(V18:V21)</f>
        <v>29139.66</v>
      </c>
      <c r="W22" s="22">
        <f>SUM(W18:W21)</f>
        <v>29048.610000000001</v>
      </c>
      <c r="X22" s="22">
        <f>SUM(X18:X21)</f>
        <v>26262.59</v>
      </c>
      <c r="Y22" s="22">
        <f>SUM(Y18:Y21)</f>
        <v>30051.27</v>
      </c>
      <c r="Z22" s="22">
        <f>SUM(Z18:Z21)</f>
        <v>28336.370000000003</v>
      </c>
      <c r="AA22" s="22">
        <f>SUM(AA18:AA21)</f>
        <v>26722.780000000002</v>
      </c>
    </row>
    <row r="23" ht="15" customHeight="1">
      <c r="A23" s="21" t="inlineStr">
        <is>
          <t>Gross Profit</t>
        </is>
      </c>
      <c r="C23" s="23">
        <f>C15-C22</f>
        <v>36876.999999999993</v>
      </c>
      <c r="D23" s="23">
        <f>D15-D22</f>
        <v>53054.889999999999</v>
      </c>
      <c r="E23" s="23">
        <f>E15-E22</f>
        <v>43228.549999999996</v>
      </c>
      <c r="F23" s="23">
        <f>F15-F22</f>
        <v>44064.779999999999</v>
      </c>
      <c r="G23" s="23">
        <f>G15-G22</f>
        <v>47586.800000000003</v>
      </c>
      <c r="H23" s="23">
        <f>H15-H22</f>
        <v>42717.980000000003</v>
      </c>
      <c r="I23" s="23">
        <f>I15-I22</f>
        <v>44468.640000000007</v>
      </c>
      <c r="J23" s="23">
        <f>J15-J22</f>
        <v>39539.740000000005</v>
      </c>
      <c r="K23" s="23">
        <f>K15-K22</f>
        <v>36315.920000000013</v>
      </c>
      <c r="L23" s="23">
        <f>L15-L22</f>
        <v>45943.580000000009</v>
      </c>
      <c r="M23" s="23">
        <f>M15-M22</f>
        <v>49700.98000000001</v>
      </c>
      <c r="N23" s="23">
        <f>N15-N22</f>
        <v>55874.950000000012</v>
      </c>
      <c r="O23" s="23">
        <f>O15-O22</f>
        <v>29469.400000000005</v>
      </c>
      <c r="P23" s="23">
        <f>P15-P22</f>
        <v>68596.689999999988</v>
      </c>
      <c r="Q23" s="23">
        <f>Q15-Q22</f>
        <v>31997.720000000001</v>
      </c>
      <c r="R23" s="23">
        <f>R15-R22</f>
        <v>48615.559999999998</v>
      </c>
      <c r="S23" s="23">
        <f>S15-S22</f>
        <v>65575.989999999991</v>
      </c>
      <c r="T23" s="23">
        <f>T15-T22</f>
        <v>51825.559999999998</v>
      </c>
      <c r="U23" s="23">
        <f>U15-U22</f>
        <v>51351.110000000001</v>
      </c>
      <c r="V23" s="23">
        <f>V15-V22</f>
        <v>62756.990000000005</v>
      </c>
      <c r="W23" s="23">
        <f>W15-W22</f>
        <v>34619.850000000006</v>
      </c>
      <c r="X23" s="23">
        <f>X15-X22</f>
        <v>40600.470000000016</v>
      </c>
      <c r="Y23" s="23">
        <f>Y15-Y22</f>
        <v>59170.659999999989</v>
      </c>
      <c r="Z23" s="23">
        <f>Z15-Z22</f>
        <v>48381.019999999997</v>
      </c>
      <c r="AA23" s="23">
        <f>AA15-AA22</f>
        <v>37404.440000000002</v>
      </c>
    </row>
    <row r="24" ht="15" customHeight="1">
      <c r="A24" s="24" t="inlineStr">
        <is>
          <t>Gross Margin %</t>
        </is>
      </c>
      <c r="C24" s="25">
        <f>IFERROR(C23/C15,0)</f>
        <v>0.56283972689673945</v>
      </c>
      <c r="D24" s="25">
        <f>IFERROR(D23/D15,0)</f>
        <v>0.67536403603629291</v>
      </c>
      <c r="E24" s="25">
        <f>IFERROR(E23/E15,0)</f>
        <v>0.62248703648504067</v>
      </c>
      <c r="F24" s="25">
        <f>IFERROR(F23/F15,0)</f>
        <v>0.63475334023236996</v>
      </c>
      <c r="G24" s="25">
        <f>IFERROR(G23/G15,0)</f>
        <v>0.63787001696722345</v>
      </c>
      <c r="H24" s="25">
        <f>IFERROR(H23/H15,0)</f>
        <v>0.6141648759865993</v>
      </c>
      <c r="I24" s="25">
        <f>IFERROR(I23/I15,0)</f>
        <v>0.65105578358577709</v>
      </c>
      <c r="J24" s="25">
        <f>IFERROR(J23/J15,0)</f>
        <v>0.60287393143171164</v>
      </c>
      <c r="K24" s="25">
        <f>IFERROR(K23/K15,0)</f>
        <v>0.60033795947461899</v>
      </c>
      <c r="L24" s="25">
        <f>IFERROR(L23/L15,0)</f>
        <v>0.67134310177843848</v>
      </c>
      <c r="M24" s="25">
        <f>IFERROR(M23/M15,0)</f>
        <v>0.66179037530763662</v>
      </c>
      <c r="N24" s="25">
        <f>IFERROR(N23/N15,0)</f>
        <v>0.68910204034817857</v>
      </c>
      <c r="O24" s="25">
        <f>IFERROR(O23/O15,0)</f>
        <v>0.53594213525730849</v>
      </c>
      <c r="P24" s="25">
        <f>IFERROR(P23/P15,0)</f>
        <v>0.72280684710243193</v>
      </c>
      <c r="Q24" s="25">
        <f>IFERROR(Q23/Q15,0)</f>
        <v>0.51133028857063412</v>
      </c>
      <c r="R24" s="25">
        <f>IFERROR(R23/R15,0)</f>
        <v>0.62543110058138751</v>
      </c>
      <c r="S24" s="25">
        <f>IFERROR(S23/S15,0)</f>
        <v>0.6914924982500732</v>
      </c>
      <c r="T24" s="25">
        <f>IFERROR(T23/T15,0)</f>
        <v>0.64191580038386953</v>
      </c>
      <c r="U24" s="25">
        <f>IFERROR(U23/U15,0)</f>
        <v>0.64675277927654928</v>
      </c>
      <c r="V24" s="25">
        <f>IFERROR(V23/V15,0)</f>
        <v>0.6829083541130172</v>
      </c>
      <c r="W24" s="25">
        <f>IFERROR(W23/W15,0)</f>
        <v>0.54375196133218873</v>
      </c>
      <c r="X24" s="25">
        <f>IFERROR(X23/X15,0)</f>
        <v>0.60721824576978689</v>
      </c>
      <c r="Y24" s="25">
        <f>IFERROR(Y23/Y15,0)</f>
        <v>0.66318516086796142</v>
      </c>
      <c r="Z24" s="25">
        <f>IFERROR(Z23/Z15,0)</f>
        <v>0.63063954600123906</v>
      </c>
      <c r="AA24" s="25">
        <f>IFERROR(AA23/AA15,0)</f>
        <v>0.5832849139569749</v>
      </c>
    </row>
    <row r="26" ht="15" customHeight="1">
      <c r="A26" s="2" t="inlineStr">
        <is>
          <t>Operating Expenses</t>
        </is>
      </c>
    </row>
    <row r="27" ht="15" customHeight="1">
      <c r="A27" s="26" t="inlineStr">
        <is>
          <t>Marketing Expenses</t>
        </is>
      </c>
    </row>
    <row r="28" ht="15" customHeight="1">
      <c r="A28" s="27" t="inlineStr">
        <is>
          <t>Advertising &amp; Marketing</t>
        </is>
      </c>
      <c r="C28" s="20">
        <f>SUMIFS('GL Data'!$E:$E,'GL Data'!$B:$B,$A28)</f>
        <v>827.44999999999993</v>
      </c>
      <c r="D28" s="20">
        <f>SUMIFS('GL Data'!$F:$F,'GL Data'!$B:$B,$A28)</f>
        <v>825.18000000000006</v>
      </c>
      <c r="E28" s="20">
        <f>SUMIFS('GL Data'!$G:$G,'GL Data'!$B:$B,$A28)</f>
        <v>1047.1600000000001</v>
      </c>
      <c r="F28" s="20">
        <f>SUMIFS('GL Data'!$H:$H,'GL Data'!$B:$B,$A28)</f>
        <v>1019.8200000000001</v>
      </c>
      <c r="G28" s="20">
        <f>SUMIFS('GL Data'!$I:$I,'GL Data'!$B:$B,$A28)</f>
        <v>771</v>
      </c>
      <c r="H28" s="20">
        <f>SUMIFS('GL Data'!$J:$J,'GL Data'!$B:$B,$A28)</f>
        <v>949.58000000000004</v>
      </c>
      <c r="I28" s="20">
        <f>SUMIFS('GL Data'!$K:$K,'GL Data'!$B:$B,$A28)</f>
        <v>1154.99</v>
      </c>
      <c r="J28" s="20">
        <f>SUMIFS('GL Data'!$L:$L,'GL Data'!$B:$B,$A28)</f>
        <v>426.10000000000002</v>
      </c>
      <c r="K28" s="20">
        <f>SUMIFS('GL Data'!$M:$M,'GL Data'!$B:$B,$A28)</f>
        <v>397.45999999999998</v>
      </c>
      <c r="L28" s="20">
        <f>SUMIFS('GL Data'!$N:$N,'GL Data'!$B:$B,$A28)</f>
        <v>263.93000000000001</v>
      </c>
      <c r="M28" s="20">
        <f>SUMIFS('GL Data'!$O:$O,'GL Data'!$B:$B,$A28)</f>
        <v>454.08999999999997</v>
      </c>
      <c r="N28" s="20">
        <f>SUMIFS('GL Data'!$P:$P,'GL Data'!$B:$B,$A28)</f>
        <v>437.04000000000002</v>
      </c>
      <c r="O28" s="20">
        <f>SUMIFS('GL Data'!$Q:$Q,'GL Data'!$B:$B,$A28)</f>
        <v>836.90999999999997</v>
      </c>
      <c r="P28" s="20">
        <f>SUMIFS('GL Data'!$R:$R,'GL Data'!$B:$B,$A28)</f>
        <v>586.22000000000003</v>
      </c>
      <c r="Q28" s="20">
        <f>SUMIFS('GL Data'!$S:$S,'GL Data'!$B:$B,$A28)</f>
        <v>359.35000000000002</v>
      </c>
      <c r="R28" s="20">
        <f>SUMIFS('GL Data'!$T:$T,'GL Data'!$B:$B,$A28)</f>
        <v>488.99000000000001</v>
      </c>
      <c r="S28" s="20">
        <f>SUMIFS('GL Data'!$U:$U,'GL Data'!$B:$B,$A28)</f>
        <v>466.08999999999997</v>
      </c>
      <c r="T28" s="20">
        <f>SUMIFS('GL Data'!$V:$V,'GL Data'!$B:$B,$A28)</f>
        <v>608.77999999999997</v>
      </c>
      <c r="U28" s="20">
        <f>SUMIFS('GL Data'!$W:$W,'GL Data'!$B:$B,$A28)</f>
        <v>552.84000000000003</v>
      </c>
      <c r="V28" s="20">
        <f>SUMIFS('GL Data'!$X:$X,'GL Data'!$B:$B,$A28)</f>
        <v>412.80000000000001</v>
      </c>
      <c r="W28" s="20">
        <f>SUMIFS('GL Data'!$Y:$Y,'GL Data'!$B:$B,$A28)</f>
        <v>357.41000000000003</v>
      </c>
      <c r="X28" s="20">
        <f>SUMIFS('GL Data'!$Z:$Z,'GL Data'!$B:$B,$A28)</f>
        <v>615.57000000000005</v>
      </c>
      <c r="Y28" s="20">
        <f>SUMIFS('GL Data'!$AA:$AA,'GL Data'!$B:$B,$A28)</f>
        <v>548.07000000000005</v>
      </c>
      <c r="Z28" s="20">
        <f>SUMIFS('GL Data'!$AB:$AB,'GL Data'!$B:$B,$A28)</f>
        <v>583.71000000000004</v>
      </c>
      <c r="AA28" s="20">
        <f>SUMIFS('GL Data'!$AC:$AC,'GL Data'!$B:$B,$A28)</f>
        <v>792.13999999999999</v>
      </c>
    </row>
    <row r="29" ht="15" customHeight="1">
      <c r="A29" s="27" t="inlineStr">
        <is>
          <t>Marketing Softwares</t>
        </is>
      </c>
      <c r="C29" s="20">
        <f>SUMIFS('GL Data'!$E:$E,'GL Data'!$B:$B,$A29)</f>
        <v>662.09000000000003</v>
      </c>
      <c r="D29" s="20">
        <f>SUMIFS('GL Data'!$F:$F,'GL Data'!$B:$B,$A29)</f>
        <v>236.68000000000001</v>
      </c>
      <c r="E29" s="20">
        <f>SUMIFS('GL Data'!$G:$G,'GL Data'!$B:$B,$A29)</f>
        <v>279.23000000000002</v>
      </c>
      <c r="F29" s="20">
        <f>SUMIFS('GL Data'!$H:$H,'GL Data'!$B:$B,$A29)</f>
        <v>340.67000000000002</v>
      </c>
      <c r="G29" s="20">
        <f>SUMIFS('GL Data'!$I:$I,'GL Data'!$B:$B,$A29)</f>
        <v>277.06</v>
      </c>
      <c r="H29" s="20">
        <f>SUMIFS('GL Data'!$J:$J,'GL Data'!$B:$B,$A29)</f>
        <v>212.56</v>
      </c>
      <c r="I29" s="20">
        <f>SUMIFS('GL Data'!$K:$K,'GL Data'!$B:$B,$A29)</f>
        <v>332.05000000000001</v>
      </c>
      <c r="J29" s="20">
        <f>SUMIFS('GL Data'!$L:$L,'GL Data'!$B:$B,$A29)</f>
        <v>291.49000000000001</v>
      </c>
      <c r="K29" s="20">
        <f>SUMIFS('GL Data'!$M:$M,'GL Data'!$B:$B,$A29)</f>
        <v>341.10000000000002</v>
      </c>
      <c r="L29" s="20">
        <f>SUMIFS('GL Data'!$N:$N,'GL Data'!$B:$B,$A29)</f>
        <v>250.37</v>
      </c>
      <c r="M29" s="20">
        <f>SUMIFS('GL Data'!$O:$O,'GL Data'!$B:$B,$A29)</f>
        <v>245.75</v>
      </c>
      <c r="N29" s="20">
        <f>SUMIFS('GL Data'!$P:$P,'GL Data'!$B:$B,$A29)</f>
        <v>380.92000000000002</v>
      </c>
      <c r="O29" s="20">
        <f>SUMIFS('GL Data'!$Q:$Q,'GL Data'!$B:$B,$A29)</f>
        <v>645.24000000000001</v>
      </c>
      <c r="P29" s="20">
        <f>SUMIFS('GL Data'!$R:$R,'GL Data'!$B:$B,$A29)</f>
        <v>315.51999999999998</v>
      </c>
      <c r="Q29" s="20">
        <f>SUMIFS('GL Data'!$S:$S,'GL Data'!$B:$B,$A29)</f>
        <v>299.57999999999998</v>
      </c>
      <c r="R29" s="20">
        <f>SUMIFS('GL Data'!$T:$T,'GL Data'!$B:$B,$A29)</f>
        <v>304.11000000000001</v>
      </c>
      <c r="S29" s="20">
        <f>SUMIFS('GL Data'!$U:$U,'GL Data'!$B:$B,$A29)</f>
        <v>313.11000000000001</v>
      </c>
      <c r="T29" s="20">
        <f>SUMIFS('GL Data'!$V:$V,'GL Data'!$B:$B,$A29)</f>
        <v>280.10000000000002</v>
      </c>
      <c r="U29" s="20">
        <f>SUMIFS('GL Data'!$W:$W,'GL Data'!$B:$B,$A29)</f>
        <v>938.89999999999998</v>
      </c>
      <c r="V29" s="20">
        <f>SUMIFS('GL Data'!$X:$X,'GL Data'!$B:$B,$A29)</f>
        <v>-156</v>
      </c>
      <c r="W29" s="20">
        <f>SUMIFS('GL Data'!$Y:$Y,'GL Data'!$B:$B,$A29)</f>
        <v>301.55000000000001</v>
      </c>
      <c r="X29" s="20">
        <f>SUMIFS('GL Data'!$Z:$Z,'GL Data'!$B:$B,$A29)</f>
        <v>364.82999999999998</v>
      </c>
      <c r="Y29" s="20">
        <f>SUMIFS('GL Data'!$AA:$AA,'GL Data'!$B:$B,$A29)</f>
        <v>301.55000000000001</v>
      </c>
      <c r="Z29" s="20">
        <f>SUMIFS('GL Data'!$AB:$AB,'GL Data'!$B:$B,$A29)</f>
        <v>270.50999999999999</v>
      </c>
      <c r="AA29" s="20">
        <f>SUMIFS('GL Data'!$AC:$AC,'GL Data'!$B:$B,$A29)</f>
        <v>647.29999999999995</v>
      </c>
    </row>
    <row r="30" ht="15" customHeight="1">
      <c r="A30" s="27" t="inlineStr">
        <is>
          <t>Marketing Subscriptions</t>
        </is>
      </c>
      <c r="C30" s="20">
        <f>SUMIFS('GL Data'!$E:$E,'GL Data'!$B:$B,$A30)</f>
        <v>0</v>
      </c>
      <c r="D30" s="20">
        <f>SUMIFS('GL Data'!$F:$F,'GL Data'!$B:$B,$A30)</f>
        <v>0</v>
      </c>
      <c r="E30" s="20">
        <f>SUMIFS('GL Data'!$G:$G,'GL Data'!$B:$B,$A30)</f>
        <v>0</v>
      </c>
      <c r="F30" s="20">
        <f>SUMIFS('GL Data'!$H:$H,'GL Data'!$B:$B,$A30)</f>
        <v>0</v>
      </c>
      <c r="G30" s="20">
        <f>SUMIFS('GL Data'!$I:$I,'GL Data'!$B:$B,$A30)</f>
        <v>0</v>
      </c>
      <c r="H30" s="20">
        <f>SUMIFS('GL Data'!$J:$J,'GL Data'!$B:$B,$A30)</f>
        <v>0</v>
      </c>
      <c r="I30" s="20">
        <f>SUMIFS('GL Data'!$K:$K,'GL Data'!$B:$B,$A30)</f>
        <v>0</v>
      </c>
      <c r="J30" s="20">
        <f>SUMIFS('GL Data'!$L:$L,'GL Data'!$B:$B,$A30)</f>
        <v>0</v>
      </c>
      <c r="K30" s="20">
        <f>SUMIFS('GL Data'!$M:$M,'GL Data'!$B:$B,$A30)</f>
        <v>0</v>
      </c>
      <c r="L30" s="20">
        <f>SUMIFS('GL Data'!$N:$N,'GL Data'!$B:$B,$A30)</f>
        <v>0</v>
      </c>
      <c r="M30" s="20">
        <f>SUMIFS('GL Data'!$O:$O,'GL Data'!$B:$B,$A30)</f>
        <v>0</v>
      </c>
      <c r="N30" s="20">
        <f>SUMIFS('GL Data'!$P:$P,'GL Data'!$B:$B,$A30)</f>
        <v>0</v>
      </c>
      <c r="O30" s="20">
        <f>SUMIFS('GL Data'!$Q:$Q,'GL Data'!$B:$B,$A30)</f>
        <v>0</v>
      </c>
      <c r="P30" s="20">
        <f>SUMIFS('GL Data'!$R:$R,'GL Data'!$B:$B,$A30)</f>
        <v>0</v>
      </c>
      <c r="Q30" s="20">
        <f>SUMIFS('GL Data'!$S:$S,'GL Data'!$B:$B,$A30)</f>
        <v>0</v>
      </c>
      <c r="R30" s="20">
        <f>SUMIFS('GL Data'!$T:$T,'GL Data'!$B:$B,$A30)</f>
        <v>0</v>
      </c>
      <c r="S30" s="20">
        <f>SUMIFS('GL Data'!$U:$U,'GL Data'!$B:$B,$A30)</f>
        <v>0</v>
      </c>
      <c r="T30" s="20">
        <f>SUMIFS('GL Data'!$V:$V,'GL Data'!$B:$B,$A30)</f>
        <v>0</v>
      </c>
      <c r="U30" s="20">
        <f>SUMIFS('GL Data'!$W:$W,'GL Data'!$B:$B,$A30)</f>
        <v>97</v>
      </c>
      <c r="V30" s="20">
        <f>SUMIFS('GL Data'!$X:$X,'GL Data'!$B:$B,$A30)</f>
        <v>0</v>
      </c>
      <c r="W30" s="20">
        <f>SUMIFS('GL Data'!$Y:$Y,'GL Data'!$B:$B,$A30)</f>
        <v>0</v>
      </c>
      <c r="X30" s="20">
        <f>SUMIFS('GL Data'!$Z:$Z,'GL Data'!$B:$B,$A30)</f>
        <v>0</v>
      </c>
      <c r="Y30" s="20">
        <f>SUMIFS('GL Data'!$AA:$AA,'GL Data'!$B:$B,$A30)</f>
        <v>0</v>
      </c>
      <c r="Z30" s="20">
        <f>SUMIFS('GL Data'!$AB:$AB,'GL Data'!$B:$B,$A30)</f>
        <v>0</v>
      </c>
      <c r="AA30" s="20">
        <f>SUMIFS('GL Data'!$AC:$AC,'GL Data'!$B:$B,$A30)</f>
        <v>3.46</v>
      </c>
    </row>
    <row r="31" ht="15" customHeight="1">
      <c r="A31" s="27" t="inlineStr">
        <is>
          <t>VA Pay - Marketing</t>
        </is>
      </c>
      <c r="C31" s="20">
        <f>SUMIFS('GL Data'!$E:$E,'GL Data'!$B:$B,$A31)</f>
        <v>4510.0799999999999</v>
      </c>
      <c r="D31" s="20">
        <f>SUMIFS('GL Data'!$F:$F,'GL Data'!$B:$B,$A31)</f>
        <v>4160.8900000000003</v>
      </c>
      <c r="E31" s="20">
        <f>SUMIFS('GL Data'!$G:$G,'GL Data'!$B:$B,$A31)</f>
        <v>4387.96</v>
      </c>
      <c r="F31" s="20">
        <f>SUMIFS('GL Data'!$H:$H,'GL Data'!$B:$B,$A31)</f>
        <v>3850.96</v>
      </c>
      <c r="G31" s="20">
        <f>SUMIFS('GL Data'!$I:$I,'GL Data'!$B:$B,$A31)</f>
        <v>4025.9200000000001</v>
      </c>
      <c r="H31" s="20">
        <f>SUMIFS('GL Data'!$J:$J,'GL Data'!$B:$B,$A31)</f>
        <v>3198.27</v>
      </c>
      <c r="I31" s="20">
        <f>SUMIFS('GL Data'!$K:$K,'GL Data'!$B:$B,$A31)</f>
        <v>2695.1900000000001</v>
      </c>
      <c r="J31" s="20">
        <f>SUMIFS('GL Data'!$L:$L,'GL Data'!$B:$B,$A31)</f>
        <v>2513.9699999999998</v>
      </c>
      <c r="K31" s="20">
        <f>SUMIFS('GL Data'!$M:$M,'GL Data'!$B:$B,$A31)</f>
        <v>3010.2199999999998</v>
      </c>
      <c r="L31" s="20">
        <f>SUMIFS('GL Data'!$N:$N,'GL Data'!$B:$B,$A31)</f>
        <v>2861.52</v>
      </c>
      <c r="M31" s="20">
        <f>SUMIFS('GL Data'!$O:$O,'GL Data'!$B:$B,$A31)</f>
        <v>2868.7399999999998</v>
      </c>
      <c r="N31" s="20">
        <f>SUMIFS('GL Data'!$P:$P,'GL Data'!$B:$B,$A31)</f>
        <v>3063.1700000000001</v>
      </c>
      <c r="O31" s="20">
        <f>SUMIFS('GL Data'!$Q:$Q,'GL Data'!$B:$B,$A31)</f>
        <v>3158.7800000000002</v>
      </c>
      <c r="P31" s="20">
        <f>SUMIFS('GL Data'!$R:$R,'GL Data'!$B:$B,$A31)</f>
        <v>3552.2800000000002</v>
      </c>
      <c r="Q31" s="20">
        <f>SUMIFS('GL Data'!$S:$S,'GL Data'!$B:$B,$A31)</f>
        <v>3706.0799999999999</v>
      </c>
      <c r="R31" s="20">
        <f>SUMIFS('GL Data'!$T:$T,'GL Data'!$B:$B,$A31)</f>
        <v>2873.1700000000001</v>
      </c>
      <c r="S31" s="20">
        <f>SUMIFS('GL Data'!$U:$U,'GL Data'!$B:$B,$A31)</f>
        <v>3028.4400000000001</v>
      </c>
      <c r="T31" s="20">
        <f>SUMIFS('GL Data'!$V:$V,'GL Data'!$B:$B,$A31)</f>
        <v>3159.0500000000002</v>
      </c>
      <c r="U31" s="20">
        <f>SUMIFS('GL Data'!$W:$W,'GL Data'!$B:$B,$A31)</f>
        <v>3285.0599999999999</v>
      </c>
      <c r="V31" s="20">
        <f>SUMIFS('GL Data'!$X:$X,'GL Data'!$B:$B,$A31)</f>
        <v>2642.71</v>
      </c>
      <c r="W31" s="20">
        <f>SUMIFS('GL Data'!$Y:$Y,'GL Data'!$B:$B,$A31)</f>
        <v>3502.9099999999999</v>
      </c>
      <c r="X31" s="20">
        <f>SUMIFS('GL Data'!$Z:$Z,'GL Data'!$B:$B,$A31)</f>
        <v>2983.3499999999999</v>
      </c>
      <c r="Y31" s="20">
        <f>SUMIFS('GL Data'!$AA:$AA,'GL Data'!$B:$B,$A31)</f>
        <v>3467.9299999999998</v>
      </c>
      <c r="Z31" s="20">
        <f>SUMIFS('GL Data'!$AB:$AB,'GL Data'!$B:$B,$A31)</f>
        <v>3470.8800000000001</v>
      </c>
      <c r="AA31" s="20">
        <f>SUMIFS('GL Data'!$AC:$AC,'GL Data'!$B:$B,$A31)</f>
        <v>3010.8899999999999</v>
      </c>
    </row>
    <row r="32" ht="15" customHeight="1">
      <c r="A32" s="27" t="inlineStr">
        <is>
          <t>Website Fees</t>
        </is>
      </c>
      <c r="C32" s="20">
        <f>SUMIFS('GL Data'!$E:$E,'GL Data'!$B:$B,$A32)</f>
        <v>196.31999999999999</v>
      </c>
      <c r="D32" s="20">
        <f>SUMIFS('GL Data'!$F:$F,'GL Data'!$B:$B,$A32)</f>
        <v>101.81</v>
      </c>
      <c r="E32" s="20">
        <f>SUMIFS('GL Data'!$G:$G,'GL Data'!$B:$B,$A32)</f>
        <v>101.81</v>
      </c>
      <c r="F32" s="20">
        <f>SUMIFS('GL Data'!$H:$H,'GL Data'!$B:$B,$A32)</f>
        <v>110.39</v>
      </c>
      <c r="G32" s="20">
        <f>SUMIFS('GL Data'!$I:$I,'GL Data'!$B:$B,$A32)</f>
        <v>110.39</v>
      </c>
      <c r="H32" s="20">
        <f>SUMIFS('GL Data'!$J:$J,'GL Data'!$B:$B,$A32)</f>
        <v>360.64999999999998</v>
      </c>
      <c r="I32" s="20">
        <f>SUMIFS('GL Data'!$K:$K,'GL Data'!$B:$B,$A32)</f>
        <v>176.90000000000001</v>
      </c>
      <c r="J32" s="20">
        <f>SUMIFS('GL Data'!$L:$L,'GL Data'!$B:$B,$A32)</f>
        <v>132.56</v>
      </c>
      <c r="K32" s="20">
        <f>SUMIFS('GL Data'!$M:$M,'GL Data'!$B:$B,$A32)</f>
        <v>110.39</v>
      </c>
      <c r="L32" s="20">
        <f>SUMIFS('GL Data'!$N:$N,'GL Data'!$B:$B,$A32)</f>
        <v>110.39</v>
      </c>
      <c r="M32" s="20">
        <f>SUMIFS('GL Data'!$O:$O,'GL Data'!$B:$B,$A32)</f>
        <v>110.39</v>
      </c>
      <c r="N32" s="20">
        <f>SUMIFS('GL Data'!$P:$P,'GL Data'!$B:$B,$A32)</f>
        <v>134.69999999999999</v>
      </c>
      <c r="O32" s="20">
        <f>SUMIFS('GL Data'!$Q:$Q,'GL Data'!$B:$B,$A32)</f>
        <v>156.87</v>
      </c>
      <c r="P32" s="20">
        <f>SUMIFS('GL Data'!$R:$R,'GL Data'!$B:$B,$A32)</f>
        <v>112.53</v>
      </c>
      <c r="Q32" s="20">
        <f>SUMIFS('GL Data'!$S:$S,'GL Data'!$B:$B,$A32)</f>
        <v>112.53</v>
      </c>
      <c r="R32" s="20">
        <f>SUMIFS('GL Data'!$T:$T,'GL Data'!$B:$B,$A32)</f>
        <v>112.53</v>
      </c>
      <c r="S32" s="20">
        <f>SUMIFS('GL Data'!$U:$U,'GL Data'!$B:$B,$A32)</f>
        <v>112.53</v>
      </c>
      <c r="T32" s="20">
        <f>SUMIFS('GL Data'!$V:$V,'GL Data'!$B:$B,$A32)</f>
        <v>318.44999999999999</v>
      </c>
      <c r="U32" s="20">
        <f>SUMIFS('GL Data'!$W:$W,'GL Data'!$B:$B,$A32)</f>
        <v>112.53</v>
      </c>
      <c r="V32" s="20">
        <f>SUMIFS('GL Data'!$X:$X,'GL Data'!$B:$B,$A32)</f>
        <v>112.53</v>
      </c>
      <c r="W32" s="20">
        <f>SUMIFS('GL Data'!$Y:$Y,'GL Data'!$B:$B,$A32)</f>
        <v>112.53</v>
      </c>
      <c r="X32" s="20">
        <f>SUMIFS('GL Data'!$Z:$Z,'GL Data'!$B:$B,$A32)</f>
        <v>112.53</v>
      </c>
      <c r="Y32" s="20">
        <f>SUMIFS('GL Data'!$AA:$AA,'GL Data'!$B:$B,$A32)</f>
        <v>112.53</v>
      </c>
      <c r="Z32" s="20">
        <f>SUMIFS('GL Data'!$AB:$AB,'GL Data'!$B:$B,$A32)</f>
        <v>138.5</v>
      </c>
      <c r="AA32" s="20">
        <f>SUMIFS('GL Data'!$AC:$AC,'GL Data'!$B:$B,$A32)</f>
        <v>112.53</v>
      </c>
    </row>
    <row r="33" ht="15" customHeight="1">
      <c r="A33" s="28" t="inlineStr">
        <is>
          <t>Total Marketing Expenses</t>
        </is>
      </c>
      <c r="C33" s="22">
        <f>SUM(C28:C32)</f>
        <v>6195.9399999999996</v>
      </c>
      <c r="D33" s="22">
        <f>SUM(D28:D32)</f>
        <v>5324.5600000000004</v>
      </c>
      <c r="E33" s="22">
        <f>SUM(E28:E32)</f>
        <v>5816.1600000000008</v>
      </c>
      <c r="F33" s="22">
        <f>SUM(F28:F32)</f>
        <v>5321.8400000000001</v>
      </c>
      <c r="G33" s="22">
        <f>SUM(G28:G32)</f>
        <v>5184.3699999999999</v>
      </c>
      <c r="H33" s="22">
        <f>SUM(H28:H32)</f>
        <v>4721.0599999999995</v>
      </c>
      <c r="I33" s="22">
        <f>SUM(I28:I32)</f>
        <v>4359.1299999999992</v>
      </c>
      <c r="J33" s="22">
        <f>SUM(J28:J32)</f>
        <v>3364.1199999999999</v>
      </c>
      <c r="K33" s="22">
        <f>SUM(K28:K32)</f>
        <v>3859.1699999999996</v>
      </c>
      <c r="L33" s="22">
        <f>SUM(L28:L32)</f>
        <v>3486.2099999999996</v>
      </c>
      <c r="M33" s="22">
        <f>SUM(M28:M32)</f>
        <v>3678.9699999999998</v>
      </c>
      <c r="N33" s="22">
        <f>SUM(N28:N32)</f>
        <v>4015.8299999999999</v>
      </c>
      <c r="O33" s="22">
        <f>SUM(O28:O32)</f>
        <v>4797.8000000000002</v>
      </c>
      <c r="P33" s="22">
        <f>SUM(P28:P32)</f>
        <v>4566.5500000000002</v>
      </c>
      <c r="Q33" s="22">
        <f>SUM(Q28:Q32)</f>
        <v>4477.54</v>
      </c>
      <c r="R33" s="22">
        <f>SUM(R28:R32)</f>
        <v>3778.8000000000002</v>
      </c>
      <c r="S33" s="22">
        <f>SUM(S28:S32)</f>
        <v>3920.1700000000005</v>
      </c>
      <c r="T33" s="22">
        <f>SUM(T28:T32)</f>
        <v>4366.3800000000001</v>
      </c>
      <c r="U33" s="22">
        <f>SUM(U28:U32)</f>
        <v>4986.3299999999999</v>
      </c>
      <c r="V33" s="22">
        <f>SUM(V28:V32)</f>
        <v>3012.0400000000004</v>
      </c>
      <c r="W33" s="22">
        <f>SUM(W28:W32)</f>
        <v>4274.3999999999996</v>
      </c>
      <c r="X33" s="22">
        <f>SUM(X28:X32)</f>
        <v>4076.2800000000002</v>
      </c>
      <c r="Y33" s="22">
        <f>SUM(Y28:Y32)</f>
        <v>4430.0799999999999</v>
      </c>
      <c r="Z33" s="22">
        <f>SUM(Z28:Z32)</f>
        <v>4463.6000000000004</v>
      </c>
      <c r="AA33" s="22">
        <f>SUM(AA28:AA32)</f>
        <v>4566.3199999999997</v>
      </c>
    </row>
    <row r="35" ht="15" customHeight="1">
      <c r="A35" s="26" t="inlineStr">
        <is>
          <t>Personnel &amp; Leadership</t>
        </is>
      </c>
    </row>
    <row r="36" ht="15" customHeight="1">
      <c r="A36" s="27" t="inlineStr">
        <is>
          <t>OPS Team - Basic</t>
        </is>
      </c>
      <c r="C36" s="20">
        <f>SUMIFS('GL Data'!$E:$E,'GL Data'!$B:$B,$A36)</f>
        <v>11779.549999999999</v>
      </c>
      <c r="D36" s="20">
        <f>SUMIFS('GL Data'!$F:$F,'GL Data'!$B:$B,$A36)</f>
        <v>12032.110000000001</v>
      </c>
      <c r="E36" s="20">
        <f>SUMIFS('GL Data'!$G:$G,'GL Data'!$B:$B,$A36)</f>
        <v>15357.32</v>
      </c>
      <c r="F36" s="20">
        <f>SUMIFS('GL Data'!$H:$H,'GL Data'!$B:$B,$A36)</f>
        <v>14044.209999999999</v>
      </c>
      <c r="G36" s="20">
        <f>SUMIFS('GL Data'!$I:$I,'GL Data'!$B:$B,$A36)</f>
        <v>14640.15</v>
      </c>
      <c r="H36" s="20">
        <f>SUMIFS('GL Data'!$J:$J,'GL Data'!$B:$B,$A36)</f>
        <v>15409.309999999999</v>
      </c>
      <c r="I36" s="20">
        <f>SUMIFS('GL Data'!$K:$K,'GL Data'!$B:$B,$A36)</f>
        <v>12769.290000000001</v>
      </c>
      <c r="J36" s="20">
        <f>SUMIFS('GL Data'!$L:$L,'GL Data'!$B:$B,$A36)</f>
        <v>11111.23</v>
      </c>
      <c r="K36" s="20">
        <f>SUMIFS('GL Data'!$M:$M,'GL Data'!$B:$B,$A36)</f>
        <v>12139.790000000001</v>
      </c>
      <c r="L36" s="20">
        <f>SUMIFS('GL Data'!$N:$N,'GL Data'!$B:$B,$A36)</f>
        <v>10917.120000000001</v>
      </c>
      <c r="M36" s="20">
        <f>SUMIFS('GL Data'!$O:$O,'GL Data'!$B:$B,$A36)</f>
        <v>10277.49</v>
      </c>
      <c r="N36" s="20">
        <f>SUMIFS('GL Data'!$P:$P,'GL Data'!$B:$B,$A36)</f>
        <v>11593.370000000001</v>
      </c>
      <c r="O36" s="20">
        <f>SUMIFS('GL Data'!$Q:$Q,'GL Data'!$B:$B,$A36)</f>
        <v>9872.6299999999992</v>
      </c>
      <c r="P36" s="20">
        <f>SUMIFS('GL Data'!$R:$R,'GL Data'!$B:$B,$A36)</f>
        <v>12363.799999999999</v>
      </c>
      <c r="Q36" s="20">
        <f>SUMIFS('GL Data'!$S:$S,'GL Data'!$B:$B,$A36)</f>
        <v>13595.440000000001</v>
      </c>
      <c r="R36" s="20">
        <f>SUMIFS('GL Data'!$T:$T,'GL Data'!$B:$B,$A36)</f>
        <v>11428.59</v>
      </c>
      <c r="S36" s="20">
        <f>SUMIFS('GL Data'!$U:$U,'GL Data'!$B:$B,$A36)</f>
        <v>11668.9</v>
      </c>
      <c r="T36" s="20">
        <f>SUMIFS('GL Data'!$V:$V,'GL Data'!$B:$B,$A36)</f>
        <v>11286.92</v>
      </c>
      <c r="U36" s="20">
        <f>SUMIFS('GL Data'!$W:$W,'GL Data'!$B:$B,$A36)</f>
        <v>11367.440000000001</v>
      </c>
      <c r="V36" s="20">
        <f>SUMIFS('GL Data'!$X:$X,'GL Data'!$B:$B,$A36)</f>
        <v>11782.139999999999</v>
      </c>
      <c r="W36" s="20">
        <f>SUMIFS('GL Data'!$Y:$Y,'GL Data'!$B:$B,$A36)</f>
        <v>12915.24</v>
      </c>
      <c r="X36" s="20">
        <f>SUMIFS('GL Data'!$Z:$Z,'GL Data'!$B:$B,$A36)</f>
        <v>11808.969999999999</v>
      </c>
      <c r="Y36" s="20">
        <f>SUMIFS('GL Data'!$AA:$AA,'GL Data'!$B:$B,$A36)</f>
        <v>12966.780000000001</v>
      </c>
      <c r="Z36" s="20">
        <f>SUMIFS('GL Data'!$AB:$AB,'GL Data'!$B:$B,$A36)</f>
        <v>11805.139999999999</v>
      </c>
      <c r="AA36" s="20">
        <f>SUMIFS('GL Data'!$AC:$AC,'GL Data'!$B:$B,$A36)</f>
        <v>12508.209999999999</v>
      </c>
    </row>
    <row r="37" ht="15" customHeight="1">
      <c r="A37" s="27" t="inlineStr">
        <is>
          <t>OPS Team - Other Benefits</t>
        </is>
      </c>
      <c r="C37" s="20">
        <f>SUMIFS('GL Data'!$E:$E,'GL Data'!$B:$B,$A37)</f>
        <v>1490.1400000000001</v>
      </c>
      <c r="D37" s="20">
        <f>SUMIFS('GL Data'!$F:$F,'GL Data'!$B:$B,$A37)</f>
        <v>1563.6800000000001</v>
      </c>
      <c r="E37" s="20">
        <f>SUMIFS('GL Data'!$G:$G,'GL Data'!$B:$B,$A37)</f>
        <v>1827.6600000000001</v>
      </c>
      <c r="F37" s="20">
        <f>SUMIFS('GL Data'!$H:$H,'GL Data'!$B:$B,$A37)</f>
        <v>2332.1599999999999</v>
      </c>
      <c r="G37" s="20">
        <f>SUMIFS('GL Data'!$I:$I,'GL Data'!$B:$B,$A37)</f>
        <v>3929.96</v>
      </c>
      <c r="H37" s="20">
        <f>SUMIFS('GL Data'!$J:$J,'GL Data'!$B:$B,$A37)</f>
        <v>2043.02</v>
      </c>
      <c r="I37" s="20">
        <f>SUMIFS('GL Data'!$K:$K,'GL Data'!$B:$B,$A37)</f>
        <v>1038.3699999999999</v>
      </c>
      <c r="J37" s="20">
        <f>SUMIFS('GL Data'!$L:$L,'GL Data'!$B:$B,$A37)</f>
        <v>5453.4799999999996</v>
      </c>
      <c r="K37" s="20">
        <f>SUMIFS('GL Data'!$M:$M,'GL Data'!$B:$B,$A37)</f>
        <v>3421.4499999999998</v>
      </c>
      <c r="L37" s="20">
        <f>SUMIFS('GL Data'!$N:$N,'GL Data'!$B:$B,$A37)</f>
        <v>2730.6999999999998</v>
      </c>
      <c r="M37" s="20">
        <f>SUMIFS('GL Data'!$O:$O,'GL Data'!$B:$B,$A37)</f>
        <v>3818.6199999999999</v>
      </c>
      <c r="N37" s="20">
        <f>SUMIFS('GL Data'!$P:$P,'GL Data'!$B:$B,$A37)</f>
        <v>1910.73</v>
      </c>
      <c r="O37" s="20">
        <f>SUMIFS('GL Data'!$Q:$Q,'GL Data'!$B:$B,$A37)</f>
        <v>2083.8400000000001</v>
      </c>
      <c r="P37" s="20">
        <f>SUMIFS('GL Data'!$R:$R,'GL Data'!$B:$B,$A37)</f>
        <v>1658.96</v>
      </c>
      <c r="Q37" s="20">
        <f>SUMIFS('GL Data'!$S:$S,'GL Data'!$B:$B,$A37)</f>
        <v>946.52999999999997</v>
      </c>
      <c r="R37" s="20">
        <f>SUMIFS('GL Data'!$T:$T,'GL Data'!$B:$B,$A37)</f>
        <v>2249.3499999999999</v>
      </c>
      <c r="S37" s="20">
        <f>SUMIFS('GL Data'!$U:$U,'GL Data'!$B:$B,$A37)</f>
        <v>2621.6399999999999</v>
      </c>
      <c r="T37" s="20">
        <f>SUMIFS('GL Data'!$V:$V,'GL Data'!$B:$B,$A37)</f>
        <v>2197.0100000000002</v>
      </c>
      <c r="U37" s="20">
        <f>SUMIFS('GL Data'!$W:$W,'GL Data'!$B:$B,$A37)</f>
        <v>2255.6599999999999</v>
      </c>
      <c r="V37" s="20">
        <f>SUMIFS('GL Data'!$X:$X,'GL Data'!$B:$B,$A37)</f>
        <v>6460.8100000000004</v>
      </c>
      <c r="W37" s="20">
        <f>SUMIFS('GL Data'!$Y:$Y,'GL Data'!$B:$B,$A37)</f>
        <v>3284.9000000000001</v>
      </c>
      <c r="X37" s="20">
        <f>SUMIFS('GL Data'!$Z:$Z,'GL Data'!$B:$B,$A37)</f>
        <v>2781.52</v>
      </c>
      <c r="Y37" s="20">
        <f>SUMIFS('GL Data'!$AA:$AA,'GL Data'!$B:$B,$A37)</f>
        <v>2659.46</v>
      </c>
      <c r="Z37" s="20">
        <f>SUMIFS('GL Data'!$AB:$AB,'GL Data'!$B:$B,$A37)</f>
        <v>3408.6100000000001</v>
      </c>
      <c r="AA37" s="20">
        <f>SUMIFS('GL Data'!$AC:$AC,'GL Data'!$B:$B,$A37)</f>
        <v>1917.6300000000001</v>
      </c>
    </row>
    <row r="38" ht="15" customHeight="1">
      <c r="A38" s="27" t="inlineStr">
        <is>
          <t>OPS - Incentives</t>
        </is>
      </c>
      <c r="C38" s="20">
        <f>SUMIFS('GL Data'!$E:$E,'GL Data'!$B:$B,$A38)</f>
        <v>116.69</v>
      </c>
      <c r="D38" s="20">
        <f>SUMIFS('GL Data'!$F:$F,'GL Data'!$B:$B,$A38)</f>
        <v>1832.0799999999999</v>
      </c>
      <c r="E38" s="20">
        <f>SUMIFS('GL Data'!$G:$G,'GL Data'!$B:$B,$A38)</f>
        <v>200.16</v>
      </c>
      <c r="F38" s="20">
        <f>SUMIFS('GL Data'!$H:$H,'GL Data'!$B:$B,$A38)</f>
        <v>203.75</v>
      </c>
      <c r="G38" s="20">
        <f>SUMIFS('GL Data'!$I:$I,'GL Data'!$B:$B,$A38)</f>
        <v>1767.49</v>
      </c>
      <c r="H38" s="20">
        <f>SUMIFS('GL Data'!$J:$J,'GL Data'!$B:$B,$A38)</f>
        <v>160.09</v>
      </c>
      <c r="I38" s="20">
        <f>SUMIFS('GL Data'!$K:$K,'GL Data'!$B:$B,$A38)</f>
        <v>68.640000000000001</v>
      </c>
      <c r="J38" s="20">
        <f>SUMIFS('GL Data'!$L:$L,'GL Data'!$B:$B,$A38)</f>
        <v>1110.8</v>
      </c>
      <c r="K38" s="20">
        <f>SUMIFS('GL Data'!$M:$M,'GL Data'!$B:$B,$A38)</f>
        <v>43.530000000000001</v>
      </c>
      <c r="L38" s="20">
        <f>SUMIFS('GL Data'!$N:$N,'GL Data'!$B:$B,$A38)</f>
        <v>193.30000000000001</v>
      </c>
      <c r="M38" s="20">
        <f>SUMIFS('GL Data'!$O:$O,'GL Data'!$B:$B,$A38)</f>
        <v>1150.3299999999999</v>
      </c>
      <c r="N38" s="20">
        <f>SUMIFS('GL Data'!$P:$P,'GL Data'!$B:$B,$A38)</f>
        <v>54.350000000000001</v>
      </c>
      <c r="O38" s="20">
        <f>SUMIFS('GL Data'!$Q:$Q,'GL Data'!$B:$B,$A38)</f>
        <v>78.760000000000005</v>
      </c>
      <c r="P38" s="20">
        <f>SUMIFS('GL Data'!$R:$R,'GL Data'!$B:$B,$A38)</f>
        <v>1347.0899999999999</v>
      </c>
      <c r="Q38" s="20">
        <f>SUMIFS('GL Data'!$S:$S,'GL Data'!$B:$B,$A38)</f>
        <v>150.44</v>
      </c>
      <c r="R38" s="20">
        <f>SUMIFS('GL Data'!$T:$T,'GL Data'!$B:$B,$A38)</f>
        <v>119.76000000000001</v>
      </c>
      <c r="S38" s="20">
        <f>SUMIFS('GL Data'!$U:$U,'GL Data'!$B:$B,$A38)</f>
        <v>1783.78</v>
      </c>
      <c r="T38" s="20">
        <f>SUMIFS('GL Data'!$V:$V,'GL Data'!$B:$B,$A38)</f>
        <v>82.180000000000007</v>
      </c>
      <c r="U38" s="20">
        <f>SUMIFS('GL Data'!$W:$W,'GL Data'!$B:$B,$A38)</f>
        <v>152.40000000000001</v>
      </c>
      <c r="V38" s="20">
        <f>SUMIFS('GL Data'!$X:$X,'GL Data'!$B:$B,$A38)</f>
        <v>1741.25</v>
      </c>
      <c r="W38" s="20">
        <f>SUMIFS('GL Data'!$Y:$Y,'GL Data'!$B:$B,$A38)</f>
        <v>320.64999999999998</v>
      </c>
      <c r="X38" s="20">
        <f>SUMIFS('GL Data'!$Z:$Z,'GL Data'!$B:$B,$A38)</f>
        <v>152.34</v>
      </c>
      <c r="Y38" s="20">
        <f>SUMIFS('GL Data'!$AA:$AA,'GL Data'!$B:$B,$A38)</f>
        <v>1454.05</v>
      </c>
      <c r="Z38" s="20">
        <f>SUMIFS('GL Data'!$AB:$AB,'GL Data'!$B:$B,$A38)</f>
        <v>309.75</v>
      </c>
      <c r="AA38" s="20">
        <f>SUMIFS('GL Data'!$AC:$AC,'GL Data'!$B:$B,$A38)</f>
        <v>427.85000000000002</v>
      </c>
    </row>
    <row r="39" ht="15" customHeight="1">
      <c r="A39" s="27" t="inlineStr">
        <is>
          <t>Salaries and Wages</t>
        </is>
      </c>
      <c r="C39" s="20">
        <f>SUMIFS('GL Data'!$E:$E,'GL Data'!$B:$B,$A39)</f>
        <v>3601.5799999999999</v>
      </c>
      <c r="D39" s="20">
        <f>SUMIFS('GL Data'!$F:$F,'GL Data'!$B:$B,$A39)</f>
        <v>2851.5799999999999</v>
      </c>
      <c r="E39" s="20">
        <f>SUMIFS('GL Data'!$G:$G,'GL Data'!$B:$B,$A39)</f>
        <v>2101.5799999999999</v>
      </c>
      <c r="F39" s="20">
        <f>SUMIFS('GL Data'!$H:$H,'GL Data'!$B:$B,$A39)</f>
        <v>2101.5799999999999</v>
      </c>
      <c r="G39" s="20">
        <f>SUMIFS('GL Data'!$I:$I,'GL Data'!$B:$B,$A39)</f>
        <v>2101.5799999999999</v>
      </c>
      <c r="H39" s="20">
        <f>SUMIFS('GL Data'!$J:$J,'GL Data'!$B:$B,$A39)</f>
        <v>2101.5799999999999</v>
      </c>
      <c r="I39" s="20">
        <f>SUMIFS('GL Data'!$K:$K,'GL Data'!$B:$B,$A39)</f>
        <v>2101.5799999999999</v>
      </c>
      <c r="J39" s="20">
        <f>SUMIFS('GL Data'!$L:$L,'GL Data'!$B:$B,$A39)</f>
        <v>2101.5799999999999</v>
      </c>
      <c r="K39" s="20">
        <f>SUMIFS('GL Data'!$M:$M,'GL Data'!$B:$B,$A39)</f>
        <v>2101.5799999999999</v>
      </c>
      <c r="L39" s="20">
        <f>SUMIFS('GL Data'!$N:$N,'GL Data'!$B:$B,$A39)</f>
        <v>2101.5799999999999</v>
      </c>
      <c r="M39" s="20">
        <f>SUMIFS('GL Data'!$O:$O,'GL Data'!$B:$B,$A39)</f>
        <v>2101.5799999999999</v>
      </c>
      <c r="N39" s="20">
        <f>SUMIFS('GL Data'!$P:$P,'GL Data'!$B:$B,$A39)</f>
        <v>2101.5799999999999</v>
      </c>
      <c r="O39" s="20">
        <f>SUMIFS('GL Data'!$Q:$Q,'GL Data'!$B:$B,$A39)</f>
        <v>2101.5799999999999</v>
      </c>
      <c r="P39" s="20">
        <f>SUMIFS('GL Data'!$R:$R,'GL Data'!$B:$B,$A39)</f>
        <v>2101.5799999999999</v>
      </c>
      <c r="Q39" s="20">
        <f>SUMIFS('GL Data'!$S:$S,'GL Data'!$B:$B,$A39)</f>
        <v>2101.5799999999999</v>
      </c>
      <c r="R39" s="20">
        <f>SUMIFS('GL Data'!$T:$T,'GL Data'!$B:$B,$A39)</f>
        <v>2101.5799999999999</v>
      </c>
      <c r="S39" s="20">
        <f>SUMIFS('GL Data'!$U:$U,'GL Data'!$B:$B,$A39)</f>
        <v>2101.5900000000001</v>
      </c>
      <c r="T39" s="20">
        <f>SUMIFS('GL Data'!$V:$V,'GL Data'!$B:$B,$A39)</f>
        <v>2101.5799999999999</v>
      </c>
      <c r="U39" s="20">
        <f>SUMIFS('GL Data'!$W:$W,'GL Data'!$B:$B,$A39)</f>
        <v>2101.5799999999999</v>
      </c>
      <c r="V39" s="20">
        <f>SUMIFS('GL Data'!$X:$X,'GL Data'!$B:$B,$A39)</f>
        <v>2101.5799999999999</v>
      </c>
      <c r="W39" s="20">
        <f>SUMIFS('GL Data'!$Y:$Y,'GL Data'!$B:$B,$A39)</f>
        <v>2101.5799999999999</v>
      </c>
      <c r="X39" s="20">
        <f>SUMIFS('GL Data'!$Z:$Z,'GL Data'!$B:$B,$A39)</f>
        <v>2101.5799999999999</v>
      </c>
      <c r="Y39" s="20">
        <f>SUMIFS('GL Data'!$AA:$AA,'GL Data'!$B:$B,$A39)</f>
        <v>2101.5799999999999</v>
      </c>
      <c r="Z39" s="20">
        <f>SUMIFS('GL Data'!$AB:$AB,'GL Data'!$B:$B,$A39)</f>
        <v>2101.5799999999999</v>
      </c>
      <c r="AA39" s="20">
        <f>SUMIFS('GL Data'!$AC:$AC,'GL Data'!$B:$B,$A39)</f>
        <v>2101.5799999999999</v>
      </c>
    </row>
    <row r="40" ht="15" customHeight="1">
      <c r="A40" s="27" t="inlineStr">
        <is>
          <t>Owner's Pay</t>
        </is>
      </c>
      <c r="C40" s="20">
        <f>SUMIFS('GL Data'!$E:$E,'GL Data'!$B:$B,$A40)</f>
        <v>3564.9200000000001</v>
      </c>
      <c r="D40" s="20">
        <f>SUMIFS('GL Data'!$F:$F,'GL Data'!$B:$B,$A40)</f>
        <v>3564.9200000000001</v>
      </c>
      <c r="E40" s="20">
        <f>SUMIFS('GL Data'!$G:$G,'GL Data'!$B:$B,$A40)</f>
        <v>3564.9200000000001</v>
      </c>
      <c r="F40" s="20">
        <f>SUMIFS('GL Data'!$H:$H,'GL Data'!$B:$B,$A40)</f>
        <v>3564.9200000000001</v>
      </c>
      <c r="G40" s="20">
        <f>SUMIFS('GL Data'!$I:$I,'GL Data'!$B:$B,$A40)</f>
        <v>3564.9200000000001</v>
      </c>
      <c r="H40" s="20">
        <f>SUMIFS('GL Data'!$J:$J,'GL Data'!$B:$B,$A40)</f>
        <v>3564.9200000000001</v>
      </c>
      <c r="I40" s="20">
        <f>SUMIFS('GL Data'!$K:$K,'GL Data'!$B:$B,$A40)</f>
        <v>3564.9200000000001</v>
      </c>
      <c r="J40" s="20">
        <f>SUMIFS('GL Data'!$L:$L,'GL Data'!$B:$B,$A40)</f>
        <v>3564.9200000000001</v>
      </c>
      <c r="K40" s="20">
        <f>SUMIFS('GL Data'!$M:$M,'GL Data'!$B:$B,$A40)</f>
        <v>3564.9200000000001</v>
      </c>
      <c r="L40" s="20">
        <f>SUMIFS('GL Data'!$N:$N,'GL Data'!$B:$B,$A40)</f>
        <v>3564.9200000000001</v>
      </c>
      <c r="M40" s="20">
        <f>SUMIFS('GL Data'!$O:$O,'GL Data'!$B:$B,$A40)</f>
        <v>3564.9200000000001</v>
      </c>
      <c r="N40" s="20">
        <f>SUMIFS('GL Data'!$P:$P,'GL Data'!$B:$B,$A40)</f>
        <v>3564.9200000000001</v>
      </c>
      <c r="O40" s="20">
        <f>SUMIFS('GL Data'!$Q:$Q,'GL Data'!$B:$B,$A40)</f>
        <v>3564.9200000000001</v>
      </c>
      <c r="P40" s="20">
        <f>SUMIFS('GL Data'!$R:$R,'GL Data'!$B:$B,$A40)</f>
        <v>3564.9200000000001</v>
      </c>
      <c r="Q40" s="20">
        <f>SUMIFS('GL Data'!$S:$S,'GL Data'!$B:$B,$A40)</f>
        <v>3564.9200000000001</v>
      </c>
      <c r="R40" s="20">
        <f>SUMIFS('GL Data'!$T:$T,'GL Data'!$B:$B,$A40)</f>
        <v>3564.9200000000001</v>
      </c>
      <c r="S40" s="20">
        <f>SUMIFS('GL Data'!$U:$U,'GL Data'!$B:$B,$A40)</f>
        <v>3564.9099999999999</v>
      </c>
      <c r="T40" s="20">
        <f>SUMIFS('GL Data'!$V:$V,'GL Data'!$B:$B,$A40)</f>
        <v>8564.9200000000001</v>
      </c>
      <c r="U40" s="20">
        <f>SUMIFS('GL Data'!$W:$W,'GL Data'!$B:$B,$A40)</f>
        <v>8564.9200000000001</v>
      </c>
      <c r="V40" s="20">
        <f>SUMIFS('GL Data'!$X:$X,'GL Data'!$B:$B,$A40)</f>
        <v>5000</v>
      </c>
      <c r="W40" s="20">
        <f>SUMIFS('GL Data'!$Y:$Y,'GL Data'!$B:$B,$A40)</f>
        <v>5000</v>
      </c>
      <c r="X40" s="20">
        <f>SUMIFS('GL Data'!$Z:$Z,'GL Data'!$B:$B,$A40)</f>
        <v>5000</v>
      </c>
      <c r="Y40" s="20">
        <f>SUMIFS('GL Data'!$AA:$AA,'GL Data'!$B:$B,$A40)</f>
        <v>5000</v>
      </c>
      <c r="Z40" s="20">
        <f>SUMIFS('GL Data'!$AB:$AB,'GL Data'!$B:$B,$A40)</f>
        <v>5000</v>
      </c>
      <c r="AA40" s="20">
        <f>SUMIFS('GL Data'!$AC:$AC,'GL Data'!$B:$B,$A40)</f>
        <v>5000</v>
      </c>
    </row>
    <row r="41" ht="15" customHeight="1">
      <c r="A41" s="27" t="inlineStr">
        <is>
          <t>VA Pay - Smart VA Academy</t>
        </is>
      </c>
      <c r="C41" s="20">
        <f>SUMIFS('GL Data'!$E:$E,'GL Data'!$B:$B,$A41)</f>
        <v>590.04999999999995</v>
      </c>
      <c r="D41" s="20">
        <f>SUMIFS('GL Data'!$F:$F,'GL Data'!$B:$B,$A41)</f>
        <v>437.05000000000001</v>
      </c>
      <c r="E41" s="20">
        <f>SUMIFS('GL Data'!$G:$G,'GL Data'!$B:$B,$A41)</f>
        <v>565.24000000000001</v>
      </c>
      <c r="F41" s="20">
        <f>SUMIFS('GL Data'!$H:$H,'GL Data'!$B:$B,$A41)</f>
        <v>481.08999999999997</v>
      </c>
      <c r="G41" s="20">
        <f>SUMIFS('GL Data'!$I:$I,'GL Data'!$B:$B,$A41)</f>
        <v>396.10000000000002</v>
      </c>
      <c r="H41" s="20">
        <f>SUMIFS('GL Data'!$J:$J,'GL Data'!$B:$B,$A41)</f>
        <v>529.38</v>
      </c>
      <c r="I41" s="20">
        <f>SUMIFS('GL Data'!$K:$K,'GL Data'!$B:$B,$A41)</f>
        <v>441.61000000000001</v>
      </c>
      <c r="J41" s="20">
        <f>SUMIFS('GL Data'!$L:$L,'GL Data'!$B:$B,$A41)</f>
        <v>37.380000000000003</v>
      </c>
      <c r="K41" s="20">
        <f>SUMIFS('GL Data'!$M:$M,'GL Data'!$B:$B,$A41)</f>
        <v>336.94999999999999</v>
      </c>
      <c r="L41" s="20">
        <f>SUMIFS('GL Data'!$N:$N,'GL Data'!$B:$B,$A41)</f>
        <v>137.88999999999999</v>
      </c>
      <c r="M41" s="20">
        <f>SUMIFS('GL Data'!$O:$O,'GL Data'!$B:$B,$A41)</f>
        <v>217.37</v>
      </c>
      <c r="N41" s="20">
        <f>SUMIFS('GL Data'!$P:$P,'GL Data'!$B:$B,$A41)</f>
        <v>373.36000000000001</v>
      </c>
      <c r="O41" s="20">
        <f>SUMIFS('GL Data'!$Q:$Q,'GL Data'!$B:$B,$A41)</f>
        <v>366.36000000000001</v>
      </c>
      <c r="P41" s="20">
        <f>SUMIFS('GL Data'!$R:$R,'GL Data'!$B:$B,$A41)</f>
        <v>332.10000000000002</v>
      </c>
      <c r="Q41" s="20">
        <f>SUMIFS('GL Data'!$S:$S,'GL Data'!$B:$B,$A41)</f>
        <v>227.72999999999999</v>
      </c>
      <c r="R41" s="20">
        <f>SUMIFS('GL Data'!$T:$T,'GL Data'!$B:$B,$A41)</f>
        <v>358.54000000000002</v>
      </c>
      <c r="S41" s="20">
        <f>SUMIFS('GL Data'!$U:$U,'GL Data'!$B:$B,$A41)</f>
        <v>181.90000000000001</v>
      </c>
      <c r="T41" s="20">
        <f>SUMIFS('GL Data'!$V:$V,'GL Data'!$B:$B,$A41)</f>
        <v>194.91999999999999</v>
      </c>
      <c r="U41" s="20">
        <f>SUMIFS('GL Data'!$W:$W,'GL Data'!$B:$B,$A41)</f>
        <v>65.269999999999996</v>
      </c>
      <c r="V41" s="20">
        <f>SUMIFS('GL Data'!$X:$X,'GL Data'!$B:$B,$A41)</f>
        <v>87.129999999999995</v>
      </c>
      <c r="W41" s="20">
        <f>SUMIFS('GL Data'!$Y:$Y,'GL Data'!$B:$B,$A41)</f>
        <v>158.24000000000001</v>
      </c>
      <c r="X41" s="20">
        <f>SUMIFS('GL Data'!$Z:$Z,'GL Data'!$B:$B,$A41)</f>
        <v>62.299999999999997</v>
      </c>
      <c r="Y41" s="20">
        <f>SUMIFS('GL Data'!$AA:$AA,'GL Data'!$B:$B,$A41)</f>
        <v>106.41</v>
      </c>
      <c r="Z41" s="20">
        <f>SUMIFS('GL Data'!$AB:$AB,'GL Data'!$B:$B,$A41)</f>
        <v>2.48</v>
      </c>
      <c r="AA41" s="20">
        <f>SUMIFS('GL Data'!$AC:$AC,'GL Data'!$B:$B,$A41)</f>
        <v>0</v>
      </c>
    </row>
    <row r="42" ht="15" customHeight="1">
      <c r="A42" s="27" t="inlineStr">
        <is>
          <t>Retirement Expense</t>
        </is>
      </c>
      <c r="C42" s="20">
        <f>SUMIFS('GL Data'!$E:$E,'GL Data'!$B:$B,$A42)</f>
        <v>214.97999999999999</v>
      </c>
      <c r="D42" s="20">
        <f>SUMIFS('GL Data'!$F:$F,'GL Data'!$B:$B,$A42)</f>
        <v>192.47999999999999</v>
      </c>
      <c r="E42" s="20">
        <f>SUMIFS('GL Data'!$G:$G,'GL Data'!$B:$B,$A42)</f>
        <v>169.97999999999999</v>
      </c>
      <c r="F42" s="20">
        <f>SUMIFS('GL Data'!$H:$H,'GL Data'!$B:$B,$A42)</f>
        <v>169.97999999999999</v>
      </c>
      <c r="G42" s="20">
        <f>SUMIFS('GL Data'!$I:$I,'GL Data'!$B:$B,$A42)</f>
        <v>169.97999999999999</v>
      </c>
      <c r="H42" s="20">
        <f>SUMIFS('GL Data'!$J:$J,'GL Data'!$B:$B,$A42)</f>
        <v>169.97999999999999</v>
      </c>
      <c r="I42" s="20">
        <f>SUMIFS('GL Data'!$K:$K,'GL Data'!$B:$B,$A42)</f>
        <v>169.97999999999999</v>
      </c>
      <c r="J42" s="20">
        <f>SUMIFS('GL Data'!$L:$L,'GL Data'!$B:$B,$A42)</f>
        <v>169.97999999999999</v>
      </c>
      <c r="K42" s="20">
        <f>SUMIFS('GL Data'!$M:$M,'GL Data'!$B:$B,$A42)</f>
        <v>169.97999999999999</v>
      </c>
      <c r="L42" s="20">
        <f>SUMIFS('GL Data'!$N:$N,'GL Data'!$B:$B,$A42)</f>
        <v>169.97999999999999</v>
      </c>
      <c r="M42" s="20">
        <f>SUMIFS('GL Data'!$O:$O,'GL Data'!$B:$B,$A42)</f>
        <v>169.97999999999999</v>
      </c>
      <c r="N42" s="20">
        <f>SUMIFS('GL Data'!$P:$P,'GL Data'!$B:$B,$A42)</f>
        <v>169.97999999999999</v>
      </c>
      <c r="O42" s="20">
        <f>SUMIFS('GL Data'!$Q:$Q,'GL Data'!$B:$B,$A42)</f>
        <v>169.97999999999999</v>
      </c>
      <c r="P42" s="20">
        <f>SUMIFS('GL Data'!$R:$R,'GL Data'!$B:$B,$A42)</f>
        <v>169.97999999999999</v>
      </c>
      <c r="Q42" s="20">
        <f>SUMIFS('GL Data'!$S:$S,'GL Data'!$B:$B,$A42)</f>
        <v>169.97999999999999</v>
      </c>
      <c r="R42" s="20">
        <f>SUMIFS('GL Data'!$T:$T,'GL Data'!$B:$B,$A42)</f>
        <v>169.97999999999999</v>
      </c>
      <c r="S42" s="20">
        <f>SUMIFS('GL Data'!$U:$U,'GL Data'!$B:$B,$A42)</f>
        <v>169.97999999999999</v>
      </c>
      <c r="T42" s="20">
        <f>SUMIFS('GL Data'!$V:$V,'GL Data'!$B:$B,$A42)</f>
        <v>319.98000000000002</v>
      </c>
      <c r="U42" s="20">
        <f>SUMIFS('GL Data'!$W:$W,'GL Data'!$B:$B,$A42)</f>
        <v>319.98000000000002</v>
      </c>
      <c r="V42" s="20">
        <f>SUMIFS('GL Data'!$X:$X,'GL Data'!$B:$B,$A42)</f>
        <v>213.03999999999999</v>
      </c>
      <c r="W42" s="20">
        <f>SUMIFS('GL Data'!$Y:$Y,'GL Data'!$B:$B,$A42)</f>
        <v>213.03999999999999</v>
      </c>
      <c r="X42" s="20">
        <f>SUMIFS('GL Data'!$Z:$Z,'GL Data'!$B:$B,$A42)</f>
        <v>213.03999999999999</v>
      </c>
      <c r="Y42" s="20">
        <f>SUMIFS('GL Data'!$AA:$AA,'GL Data'!$B:$B,$A42)</f>
        <v>213.03999999999999</v>
      </c>
      <c r="Z42" s="20">
        <f>SUMIFS('GL Data'!$AB:$AB,'GL Data'!$B:$B,$A42)</f>
        <v>213.03999999999999</v>
      </c>
      <c r="AA42" s="20">
        <f>SUMIFS('GL Data'!$AC:$AC,'GL Data'!$B:$B,$A42)</f>
        <v>213.03999999999999</v>
      </c>
    </row>
    <row r="43" ht="15" customHeight="1">
      <c r="A43" s="27" t="inlineStr">
        <is>
          <t>Payroll Tax</t>
        </is>
      </c>
      <c r="C43" s="20">
        <f>SUMIFS('GL Data'!$E:$E,'GL Data'!$B:$B,$A43)</f>
        <v>548.24000000000001</v>
      </c>
      <c r="D43" s="20">
        <f>SUMIFS('GL Data'!$F:$F,'GL Data'!$B:$B,$A43)</f>
        <v>490.87</v>
      </c>
      <c r="E43" s="20">
        <f>SUMIFS('GL Data'!$G:$G,'GL Data'!$B:$B,$A43)</f>
        <v>433.5</v>
      </c>
      <c r="F43" s="20">
        <f>SUMIFS('GL Data'!$H:$H,'GL Data'!$B:$B,$A43)</f>
        <v>433.5</v>
      </c>
      <c r="G43" s="20">
        <f>SUMIFS('GL Data'!$I:$I,'GL Data'!$B:$B,$A43)</f>
        <v>433.5</v>
      </c>
      <c r="H43" s="20">
        <f>SUMIFS('GL Data'!$J:$J,'GL Data'!$B:$B,$A43)</f>
        <v>433.5</v>
      </c>
      <c r="I43" s="20">
        <f>SUMIFS('GL Data'!$K:$K,'GL Data'!$B:$B,$A43)</f>
        <v>433.5</v>
      </c>
      <c r="J43" s="20">
        <f>SUMIFS('GL Data'!$L:$L,'GL Data'!$B:$B,$A43)</f>
        <v>580.82000000000005</v>
      </c>
      <c r="K43" s="20">
        <f>SUMIFS('GL Data'!$M:$M,'GL Data'!$B:$B,$A43)</f>
        <v>580.04999999999995</v>
      </c>
      <c r="L43" s="20">
        <f>SUMIFS('GL Data'!$N:$N,'GL Data'!$B:$B,$A43)</f>
        <v>525.53999999999996</v>
      </c>
      <c r="M43" s="20">
        <f>SUMIFS('GL Data'!$O:$O,'GL Data'!$B:$B,$A43)</f>
        <v>479.70999999999998</v>
      </c>
      <c r="N43" s="20">
        <f>SUMIFS('GL Data'!$P:$P,'GL Data'!$B:$B,$A43)</f>
        <v>445.37</v>
      </c>
      <c r="O43" s="20">
        <f>SUMIFS('GL Data'!$Q:$Q,'GL Data'!$B:$B,$A43)</f>
        <v>433.5</v>
      </c>
      <c r="P43" s="20">
        <f>SUMIFS('GL Data'!$R:$R,'GL Data'!$B:$B,$A43)</f>
        <v>433.5</v>
      </c>
      <c r="Q43" s="20">
        <f>SUMIFS('GL Data'!$S:$S,'GL Data'!$B:$B,$A43)</f>
        <v>433.5</v>
      </c>
      <c r="R43" s="20">
        <f>SUMIFS('GL Data'!$T:$T,'GL Data'!$B:$B,$A43)</f>
        <v>433.5</v>
      </c>
      <c r="S43" s="20">
        <f>SUMIFS('GL Data'!$U:$U,'GL Data'!$B:$B,$A43)</f>
        <v>433.5</v>
      </c>
      <c r="T43" s="20">
        <f>SUMIFS('GL Data'!$V:$V,'GL Data'!$B:$B,$A43)</f>
        <v>816</v>
      </c>
      <c r="U43" s="20">
        <f>SUMIFS('GL Data'!$W:$W,'GL Data'!$B:$B,$A43)</f>
        <v>816</v>
      </c>
      <c r="V43" s="20">
        <f>SUMIFS('GL Data'!$X:$X,'GL Data'!$B:$B,$A43)</f>
        <v>727.91999999999996</v>
      </c>
      <c r="W43" s="20">
        <f>SUMIFS('GL Data'!$Y:$Y,'GL Data'!$B:$B,$A43)</f>
        <v>689.91999999999996</v>
      </c>
      <c r="X43" s="20">
        <f>SUMIFS('GL Data'!$Z:$Z,'GL Data'!$B:$B,$A43)</f>
        <v>597.91999999999996</v>
      </c>
      <c r="Y43" s="20">
        <f>SUMIFS('GL Data'!$AA:$AA,'GL Data'!$B:$B,$A43)</f>
        <v>545.97000000000003</v>
      </c>
      <c r="Z43" s="20">
        <f>SUMIFS('GL Data'!$AB:$AB,'GL Data'!$B:$B,$A43)</f>
        <v>553.66999999999996</v>
      </c>
      <c r="AA43" s="20">
        <f>SUMIFS('GL Data'!$AC:$AC,'GL Data'!$B:$B,$A43)</f>
        <v>543.27999999999997</v>
      </c>
    </row>
    <row r="44" ht="15" customHeight="1">
      <c r="A44" s="27" t="inlineStr">
        <is>
          <t>Employee Appreciation</t>
        </is>
      </c>
      <c r="C44" s="20">
        <f>SUMIFS('GL Data'!$E:$E,'GL Data'!$B:$B,$A44)</f>
        <v>142.75</v>
      </c>
      <c r="D44" s="20">
        <f>SUMIFS('GL Data'!$F:$F,'GL Data'!$B:$B,$A44)</f>
        <v>39.340000000000003</v>
      </c>
      <c r="E44" s="20">
        <f>SUMIFS('GL Data'!$G:$G,'GL Data'!$B:$B,$A44)</f>
        <v>89.430000000000007</v>
      </c>
      <c r="F44" s="20">
        <f>SUMIFS('GL Data'!$H:$H,'GL Data'!$B:$B,$A44)</f>
        <v>268.81999999999999</v>
      </c>
      <c r="G44" s="20">
        <f>SUMIFS('GL Data'!$I:$I,'GL Data'!$B:$B,$A44)</f>
        <v>0</v>
      </c>
      <c r="H44" s="20">
        <f>SUMIFS('GL Data'!$J:$J,'GL Data'!$B:$B,$A44)</f>
        <v>0</v>
      </c>
      <c r="I44" s="20">
        <f>SUMIFS('GL Data'!$K:$K,'GL Data'!$B:$B,$A44)</f>
        <v>17967.810000000001</v>
      </c>
      <c r="J44" s="20">
        <f>SUMIFS('GL Data'!$L:$L,'GL Data'!$B:$B,$A44)</f>
        <v>0</v>
      </c>
      <c r="K44" s="20">
        <f>SUMIFS('GL Data'!$M:$M,'GL Data'!$B:$B,$A44)</f>
        <v>48.469999999999999</v>
      </c>
      <c r="L44" s="20">
        <f>SUMIFS('GL Data'!$N:$N,'GL Data'!$B:$B,$A44)</f>
        <v>1728.9300000000001</v>
      </c>
      <c r="M44" s="20">
        <f>SUMIFS('GL Data'!$O:$O,'GL Data'!$B:$B,$A44)</f>
        <v>827.54999999999995</v>
      </c>
      <c r="N44" s="20">
        <f>SUMIFS('GL Data'!$P:$P,'GL Data'!$B:$B,$A44)</f>
        <v>91.549999999999997</v>
      </c>
      <c r="O44" s="20">
        <f>SUMIFS('GL Data'!$Q:$Q,'GL Data'!$B:$B,$A44)</f>
        <v>0</v>
      </c>
      <c r="P44" s="20">
        <f>SUMIFS('GL Data'!$R:$R,'GL Data'!$B:$B,$A44)</f>
        <v>110.39</v>
      </c>
      <c r="Q44" s="20">
        <f>SUMIFS('GL Data'!$S:$S,'GL Data'!$B:$B,$A44)</f>
        <v>85.489999999999995</v>
      </c>
      <c r="R44" s="20">
        <f>SUMIFS('GL Data'!$T:$T,'GL Data'!$B:$B,$A44)</f>
        <v>0</v>
      </c>
      <c r="S44" s="20">
        <f>SUMIFS('GL Data'!$U:$U,'GL Data'!$B:$B,$A44)</f>
        <v>968.74000000000001</v>
      </c>
      <c r="T44" s="20">
        <f>SUMIFS('GL Data'!$V:$V,'GL Data'!$B:$B,$A44)</f>
        <v>211.24000000000001</v>
      </c>
      <c r="U44" s="20">
        <f>SUMIFS('GL Data'!$W:$W,'GL Data'!$B:$B,$A44)</f>
        <v>14667.559999999999</v>
      </c>
      <c r="V44" s="20">
        <f>SUMIFS('GL Data'!$X:$X,'GL Data'!$B:$B,$A44)</f>
        <v>107.77</v>
      </c>
      <c r="W44" s="20">
        <f>SUMIFS('GL Data'!$Y:$Y,'GL Data'!$B:$B,$A44)</f>
        <v>0</v>
      </c>
      <c r="X44" s="20">
        <f>SUMIFS('GL Data'!$Z:$Z,'GL Data'!$B:$B,$A44)</f>
        <v>112.41</v>
      </c>
      <c r="Y44" s="20">
        <f>SUMIFS('GL Data'!$AA:$AA,'GL Data'!$B:$B,$A44)</f>
        <v>1363.4400000000001</v>
      </c>
      <c r="Z44" s="20">
        <f>SUMIFS('GL Data'!$AB:$AB,'GL Data'!$B:$B,$A44)</f>
        <v>164.53</v>
      </c>
      <c r="AA44" s="20">
        <f>SUMIFS('GL Data'!$AC:$AC,'GL Data'!$B:$B,$A44)</f>
        <v>105.83</v>
      </c>
    </row>
    <row r="45" ht="15" customHeight="1">
      <c r="A45" s="28" t="inlineStr">
        <is>
          <t>Total Personnel &amp; Leadership</t>
        </is>
      </c>
      <c r="C45" s="22">
        <f>SUM(C36:C44)</f>
        <v>22048.899999999998</v>
      </c>
      <c r="D45" s="22">
        <f>SUM(D36:D44)</f>
        <v>23004.110000000001</v>
      </c>
      <c r="E45" s="22">
        <f>SUM(E36:E44)</f>
        <v>24309.790000000001</v>
      </c>
      <c r="F45" s="22">
        <f>SUM(F36:F44)</f>
        <v>23600.009999999995</v>
      </c>
      <c r="G45" s="22">
        <f>SUM(G36:G44)</f>
        <v>27003.679999999997</v>
      </c>
      <c r="H45" s="22">
        <f>SUM(H36:H44)</f>
        <v>24411.779999999999</v>
      </c>
      <c r="I45" s="22">
        <f>SUM(I36:I44)</f>
        <v>38555.699999999997</v>
      </c>
      <c r="J45" s="22">
        <f>SUM(J36:J44)</f>
        <v>24130.189999999995</v>
      </c>
      <c r="K45" s="22">
        <f>SUM(K36:K44)</f>
        <v>22406.720000000005</v>
      </c>
      <c r="L45" s="22">
        <f>SUM(L36:L44)</f>
        <v>22069.959999999999</v>
      </c>
      <c r="M45" s="22">
        <f>SUM(M36:M44)</f>
        <v>22607.549999999999</v>
      </c>
      <c r="N45" s="22">
        <f>SUM(N36:N44)</f>
        <v>20305.209999999999</v>
      </c>
      <c r="O45" s="22">
        <f>SUM(O36:O44)</f>
        <v>18671.57</v>
      </c>
      <c r="P45" s="22">
        <f>SUM(P36:P44)</f>
        <v>22082.319999999996</v>
      </c>
      <c r="Q45" s="22">
        <f>SUM(Q36:Q44)</f>
        <v>21275.610000000004</v>
      </c>
      <c r="R45" s="22">
        <f>SUM(R36:R44)</f>
        <v>20426.220000000001</v>
      </c>
      <c r="S45" s="22">
        <f>SUM(S36:S44)</f>
        <v>23494.940000000002</v>
      </c>
      <c r="T45" s="22">
        <f>SUM(T36:T44)</f>
        <v>25774.75</v>
      </c>
      <c r="U45" s="22">
        <f>SUM(U36:U44)</f>
        <v>40310.809999999998</v>
      </c>
      <c r="V45" s="22">
        <f>SUM(V36:V44)</f>
        <v>28221.639999999999</v>
      </c>
      <c r="W45" s="22">
        <f>SUM(W36:W44)</f>
        <v>24683.570000000003</v>
      </c>
      <c r="X45" s="22">
        <f>SUM(X36:X44)</f>
        <v>22830.079999999998</v>
      </c>
      <c r="Y45" s="22">
        <f>SUM(Y36:Y44)</f>
        <v>26410.730000000003</v>
      </c>
      <c r="Z45" s="22">
        <f>SUM(Z36:Z44)</f>
        <v>23558.799999999999</v>
      </c>
      <c r="AA45" s="22">
        <f>SUM(AA36:AA44)</f>
        <v>22817.420000000002</v>
      </c>
    </row>
    <row r="47" ht="15" customHeight="1">
      <c r="A47" s="26" t="inlineStr">
        <is>
          <t>General &amp; Administrative</t>
        </is>
      </c>
    </row>
    <row r="48" ht="15" customHeight="1">
      <c r="A48" s="27" t="inlineStr">
        <is>
          <t>Softwares</t>
        </is>
      </c>
      <c r="C48" s="20">
        <f>SUMIFS('GL Data'!$E:$E,'GL Data'!$B:$B,$A48)</f>
        <v>2402.0599999999999</v>
      </c>
      <c r="D48" s="20">
        <f>SUMIFS('GL Data'!$F:$F,'GL Data'!$B:$B,$A48)</f>
        <v>2624.52</v>
      </c>
      <c r="E48" s="20">
        <f>SUMIFS('GL Data'!$G:$G,'GL Data'!$B:$B,$A48)</f>
        <v>2308.8200000000002</v>
      </c>
      <c r="F48" s="20">
        <f>SUMIFS('GL Data'!$H:$H,'GL Data'!$B:$B,$A48)</f>
        <v>3030.7200000000003</v>
      </c>
      <c r="G48" s="20">
        <f>SUMIFS('GL Data'!$I:$I,'GL Data'!$B:$B,$A48)</f>
        <v>5964.5699999999997</v>
      </c>
      <c r="H48" s="20">
        <f>SUMIFS('GL Data'!$J:$J,'GL Data'!$B:$B,$A48)</f>
        <v>4063.52</v>
      </c>
      <c r="I48" s="20">
        <f>SUMIFS('GL Data'!$K:$K,'GL Data'!$B:$B,$A48)</f>
        <v>4065.77</v>
      </c>
      <c r="J48" s="20">
        <f>SUMIFS('GL Data'!$L:$L,'GL Data'!$B:$B,$A48)</f>
        <v>4135.5500000000002</v>
      </c>
      <c r="K48" s="20">
        <f>SUMIFS('GL Data'!$M:$M,'GL Data'!$B:$B,$A48)</f>
        <v>4204.9200000000001</v>
      </c>
      <c r="L48" s="20">
        <f>SUMIFS('GL Data'!$N:$N,'GL Data'!$B:$B,$A48)</f>
        <v>2583.9200000000001</v>
      </c>
      <c r="M48" s="20">
        <f>SUMIFS('GL Data'!$O:$O,'GL Data'!$B:$B,$A48)</f>
        <v>2823.0100000000002</v>
      </c>
      <c r="N48" s="20">
        <f>SUMIFS('GL Data'!$P:$P,'GL Data'!$B:$B,$A48)</f>
        <v>2502.8000000000002</v>
      </c>
      <c r="O48" s="20">
        <f>SUMIFS('GL Data'!$Q:$Q,'GL Data'!$B:$B,$A48)</f>
        <v>2615.9899999999998</v>
      </c>
      <c r="P48" s="20">
        <f>SUMIFS('GL Data'!$R:$R,'GL Data'!$B:$B,$A48)</f>
        <v>2433.48</v>
      </c>
      <c r="Q48" s="20">
        <f>SUMIFS('GL Data'!$S:$S,'GL Data'!$B:$B,$A48)</f>
        <v>2510.0999999999999</v>
      </c>
      <c r="R48" s="20">
        <f>SUMIFS('GL Data'!$T:$T,'GL Data'!$B:$B,$A48)</f>
        <v>4551.9899999999998</v>
      </c>
      <c r="S48" s="20">
        <f>SUMIFS('GL Data'!$U:$U,'GL Data'!$B:$B,$A48)</f>
        <v>6270.21</v>
      </c>
      <c r="T48" s="20">
        <f>SUMIFS('GL Data'!$V:$V,'GL Data'!$B:$B,$A48)</f>
        <v>2649.3800000000001</v>
      </c>
      <c r="U48" s="20">
        <f>SUMIFS('GL Data'!$W:$W,'GL Data'!$B:$B,$A48)</f>
        <v>2730.4299999999998</v>
      </c>
      <c r="V48" s="20">
        <f>SUMIFS('GL Data'!$X:$X,'GL Data'!$B:$B,$A48)</f>
        <v>4149.8199999999997</v>
      </c>
      <c r="W48" s="20">
        <f>SUMIFS('GL Data'!$Y:$Y,'GL Data'!$B:$B,$A48)</f>
        <v>2813.77</v>
      </c>
      <c r="X48" s="20">
        <f>SUMIFS('GL Data'!$Z:$Z,'GL Data'!$B:$B,$A48)</f>
        <v>2117.8299999999999</v>
      </c>
      <c r="Y48" s="20">
        <f>SUMIFS('GL Data'!$AA:$AA,'GL Data'!$B:$B,$A48)</f>
        <v>2940.96</v>
      </c>
      <c r="Z48" s="20">
        <f>SUMIFS('GL Data'!$AB:$AB,'GL Data'!$B:$B,$A48)</f>
        <v>2550.8099999999999</v>
      </c>
      <c r="AA48" s="20">
        <f>SUMIFS('GL Data'!$AC:$AC,'GL Data'!$B:$B,$A48)</f>
        <v>2514.3299999999999</v>
      </c>
    </row>
    <row r="49" ht="15" customHeight="1">
      <c r="A49" s="27" t="inlineStr">
        <is>
          <t>Hub Expenses</t>
        </is>
      </c>
      <c r="C49" s="20">
        <f>SUMIFS('GL Data'!$E:$E,'GL Data'!$B:$B,$A49)</f>
        <v>232.81</v>
      </c>
      <c r="D49" s="20">
        <f>SUMIFS('GL Data'!$F:$F,'GL Data'!$B:$B,$A49)</f>
        <v>330.58999999999997</v>
      </c>
      <c r="E49" s="20">
        <f>SUMIFS('GL Data'!$G:$G,'GL Data'!$B:$B,$A49)</f>
        <v>331.85000000000002</v>
      </c>
      <c r="F49" s="20">
        <f>SUMIFS('GL Data'!$H:$H,'GL Data'!$B:$B,$A49)</f>
        <v>473.56</v>
      </c>
      <c r="G49" s="20">
        <f>SUMIFS('GL Data'!$I:$I,'GL Data'!$B:$B,$A49)</f>
        <v>193.99000000000001</v>
      </c>
      <c r="H49" s="20">
        <f>SUMIFS('GL Data'!$J:$J,'GL Data'!$B:$B,$A49)</f>
        <v>308.29000000000002</v>
      </c>
      <c r="I49" s="20">
        <f>SUMIFS('GL Data'!$K:$K,'GL Data'!$B:$B,$A49)</f>
        <v>76.299999999999997</v>
      </c>
      <c r="J49" s="20">
        <f>SUMIFS('GL Data'!$L:$L,'GL Data'!$B:$B,$A49)</f>
        <v>192.21000000000001</v>
      </c>
      <c r="K49" s="20">
        <f>SUMIFS('GL Data'!$M:$M,'GL Data'!$B:$B,$A49)</f>
        <v>176.12</v>
      </c>
      <c r="L49" s="20">
        <f>SUMIFS('GL Data'!$N:$N,'GL Data'!$B:$B,$A49)</f>
        <v>256.52999999999997</v>
      </c>
      <c r="M49" s="20">
        <f>SUMIFS('GL Data'!$O:$O,'GL Data'!$B:$B,$A49)</f>
        <v>161.63999999999999</v>
      </c>
      <c r="N49" s="20">
        <f>SUMIFS('GL Data'!$P:$P,'GL Data'!$B:$B,$A49)</f>
        <v>22.84</v>
      </c>
      <c r="O49" s="20">
        <f>SUMIFS('GL Data'!$Q:$Q,'GL Data'!$B:$B,$A49)</f>
        <v>0</v>
      </c>
      <c r="P49" s="20">
        <f>SUMIFS('GL Data'!$R:$R,'GL Data'!$B:$B,$A49)</f>
        <v>0</v>
      </c>
      <c r="Q49" s="20">
        <f>SUMIFS('GL Data'!$S:$S,'GL Data'!$B:$B,$A49)</f>
        <v>0</v>
      </c>
      <c r="R49" s="20">
        <f>SUMIFS('GL Data'!$T:$T,'GL Data'!$B:$B,$A49)</f>
        <v>0</v>
      </c>
      <c r="S49" s="20">
        <f>SUMIFS('GL Data'!$U:$U,'GL Data'!$B:$B,$A49)</f>
        <v>0</v>
      </c>
      <c r="T49" s="20">
        <f>SUMIFS('GL Data'!$V:$V,'GL Data'!$B:$B,$A49)</f>
        <v>0</v>
      </c>
      <c r="U49" s="20">
        <f>SUMIFS('GL Data'!$W:$W,'GL Data'!$B:$B,$A49)</f>
        <v>0</v>
      </c>
      <c r="V49" s="20">
        <f>SUMIFS('GL Data'!$X:$X,'GL Data'!$B:$B,$A49)</f>
        <v>0</v>
      </c>
      <c r="W49" s="20">
        <f>SUMIFS('GL Data'!$Y:$Y,'GL Data'!$B:$B,$A49)</f>
        <v>0</v>
      </c>
      <c r="X49" s="20">
        <f>SUMIFS('GL Data'!$Z:$Z,'GL Data'!$B:$B,$A49)</f>
        <v>0</v>
      </c>
      <c r="Y49" s="20">
        <f>SUMIFS('GL Data'!$AA:$AA,'GL Data'!$B:$B,$A49)</f>
        <v>0</v>
      </c>
      <c r="Z49" s="20">
        <f>SUMIFS('GL Data'!$AB:$AB,'GL Data'!$B:$B,$A49)</f>
        <v>0</v>
      </c>
      <c r="AA49" s="20">
        <f>SUMIFS('GL Data'!$AC:$AC,'GL Data'!$B:$B,$A49)</f>
        <v>0</v>
      </c>
    </row>
    <row r="50" ht="15" customHeight="1">
      <c r="A50" s="27" t="inlineStr">
        <is>
          <t>Client Appreciation</t>
        </is>
      </c>
      <c r="C50" s="20">
        <f>SUMIFS('GL Data'!$E:$E,'GL Data'!$B:$B,$A50)</f>
        <v>0</v>
      </c>
      <c r="D50" s="20">
        <f>SUMIFS('GL Data'!$F:$F,'GL Data'!$B:$B,$A50)</f>
        <v>0</v>
      </c>
      <c r="E50" s="20">
        <f>SUMIFS('GL Data'!$G:$G,'GL Data'!$B:$B,$A50)</f>
        <v>0</v>
      </c>
      <c r="F50" s="20">
        <f>SUMIFS('GL Data'!$H:$H,'GL Data'!$B:$B,$A50)</f>
        <v>0</v>
      </c>
      <c r="G50" s="20">
        <f>SUMIFS('GL Data'!$I:$I,'GL Data'!$B:$B,$A50)</f>
        <v>175.36000000000001</v>
      </c>
      <c r="H50" s="20">
        <f>SUMIFS('GL Data'!$J:$J,'GL Data'!$B:$B,$A50)</f>
        <v>31.18</v>
      </c>
      <c r="I50" s="20">
        <f>SUMIFS('GL Data'!$K:$K,'GL Data'!$B:$B,$A50)</f>
        <v>0</v>
      </c>
      <c r="J50" s="20">
        <f>SUMIFS('GL Data'!$L:$L,'GL Data'!$B:$B,$A50)</f>
        <v>0</v>
      </c>
      <c r="K50" s="20">
        <f>SUMIFS('GL Data'!$M:$M,'GL Data'!$B:$B,$A50)</f>
        <v>0</v>
      </c>
      <c r="L50" s="20">
        <f>SUMIFS('GL Data'!$N:$N,'GL Data'!$B:$B,$A50)</f>
        <v>0</v>
      </c>
      <c r="M50" s="20">
        <f>SUMIFS('GL Data'!$O:$O,'GL Data'!$B:$B,$A50)</f>
        <v>0</v>
      </c>
      <c r="N50" s="20">
        <f>SUMIFS('GL Data'!$P:$P,'GL Data'!$B:$B,$A50)</f>
        <v>0</v>
      </c>
      <c r="O50" s="20">
        <f>SUMIFS('GL Data'!$Q:$Q,'GL Data'!$B:$B,$A50)</f>
        <v>113.90000000000001</v>
      </c>
      <c r="P50" s="20">
        <f>SUMIFS('GL Data'!$R:$R,'GL Data'!$B:$B,$A50)</f>
        <v>0</v>
      </c>
      <c r="Q50" s="20">
        <f>SUMIFS('GL Data'!$S:$S,'GL Data'!$B:$B,$A50)</f>
        <v>0</v>
      </c>
      <c r="R50" s="20">
        <f>SUMIFS('GL Data'!$T:$T,'GL Data'!$B:$B,$A50)</f>
        <v>0</v>
      </c>
      <c r="S50" s="20">
        <f>SUMIFS('GL Data'!$U:$U,'GL Data'!$B:$B,$A50)</f>
        <v>0</v>
      </c>
      <c r="T50" s="20">
        <f>SUMIFS('GL Data'!$V:$V,'GL Data'!$B:$B,$A50)</f>
        <v>0</v>
      </c>
      <c r="U50" s="20">
        <f>SUMIFS('GL Data'!$W:$W,'GL Data'!$B:$B,$A50)</f>
        <v>547.61000000000001</v>
      </c>
      <c r="V50" s="20">
        <f>SUMIFS('GL Data'!$X:$X,'GL Data'!$B:$B,$A50)</f>
        <v>0</v>
      </c>
      <c r="W50" s="20">
        <f>SUMIFS('GL Data'!$Y:$Y,'GL Data'!$B:$B,$A50)</f>
        <v>0</v>
      </c>
      <c r="X50" s="20">
        <f>SUMIFS('GL Data'!$Z:$Z,'GL Data'!$B:$B,$A50)</f>
        <v>0</v>
      </c>
      <c r="Y50" s="20">
        <f>SUMIFS('GL Data'!$AA:$AA,'GL Data'!$B:$B,$A50)</f>
        <v>0</v>
      </c>
      <c r="Z50" s="20">
        <f>SUMIFS('GL Data'!$AB:$AB,'GL Data'!$B:$B,$A50)</f>
        <v>0</v>
      </c>
      <c r="AA50" s="20">
        <f>SUMIFS('GL Data'!$AC:$AC,'GL Data'!$B:$B,$A50)</f>
        <v>0</v>
      </c>
    </row>
    <row r="51" ht="15" customHeight="1">
      <c r="A51" s="27" t="inlineStr">
        <is>
          <t>Phone &amp; Internet</t>
        </is>
      </c>
      <c r="C51" s="20">
        <f>SUMIFS('GL Data'!$E:$E,'GL Data'!$B:$B,$A51)</f>
        <v>99.989999999999995</v>
      </c>
      <c r="D51" s="20">
        <f>SUMIFS('GL Data'!$F:$F,'GL Data'!$B:$B,$A51)</f>
        <v>99.989999999999995</v>
      </c>
      <c r="E51" s="20">
        <f>SUMIFS('GL Data'!$G:$G,'GL Data'!$B:$B,$A51)</f>
        <v>99.989999999999995</v>
      </c>
      <c r="F51" s="20">
        <f>SUMIFS('GL Data'!$H:$H,'GL Data'!$B:$B,$A51)</f>
        <v>104.98999999999999</v>
      </c>
      <c r="G51" s="20">
        <f>SUMIFS('GL Data'!$I:$I,'GL Data'!$B:$B,$A51)</f>
        <v>104.98999999999999</v>
      </c>
      <c r="H51" s="20">
        <f>SUMIFS('GL Data'!$J:$J,'GL Data'!$B:$B,$A51)</f>
        <v>104.98999999999999</v>
      </c>
      <c r="I51" s="20">
        <f>SUMIFS('GL Data'!$K:$K,'GL Data'!$B:$B,$A51)</f>
        <v>104.98999999999999</v>
      </c>
      <c r="J51" s="20">
        <f>SUMIFS('GL Data'!$L:$L,'GL Data'!$B:$B,$A51)</f>
        <v>104.98999999999999</v>
      </c>
      <c r="K51" s="20">
        <f>SUMIFS('GL Data'!$M:$M,'GL Data'!$B:$B,$A51)</f>
        <v>104.98999999999999</v>
      </c>
      <c r="L51" s="20">
        <f>SUMIFS('GL Data'!$N:$N,'GL Data'!$B:$B,$A51)</f>
        <v>114.98999999999999</v>
      </c>
      <c r="M51" s="20">
        <f>SUMIFS('GL Data'!$O:$O,'GL Data'!$B:$B,$A51)</f>
        <v>114.98999999999999</v>
      </c>
      <c r="N51" s="20">
        <f>SUMIFS('GL Data'!$P:$P,'GL Data'!$B:$B,$A51)</f>
        <v>114.98999999999999</v>
      </c>
      <c r="O51" s="20">
        <f>SUMIFS('GL Data'!$Q:$Q,'GL Data'!$B:$B,$A51)</f>
        <v>114.98999999999999</v>
      </c>
      <c r="P51" s="20">
        <f>SUMIFS('GL Data'!$R:$R,'GL Data'!$B:$B,$A51)</f>
        <v>114.98999999999999</v>
      </c>
      <c r="Q51" s="20">
        <f>SUMIFS('GL Data'!$S:$S,'GL Data'!$B:$B,$A51)</f>
        <v>114.98999999999999</v>
      </c>
      <c r="R51" s="20">
        <f>SUMIFS('GL Data'!$T:$T,'GL Data'!$B:$B,$A51)</f>
        <v>114.98999999999999</v>
      </c>
      <c r="S51" s="20">
        <f>SUMIFS('GL Data'!$U:$U,'GL Data'!$B:$B,$A51)</f>
        <v>114.98999999999999</v>
      </c>
      <c r="T51" s="20">
        <f>SUMIFS('GL Data'!$V:$V,'GL Data'!$B:$B,$A51)</f>
        <v>114.98999999999999</v>
      </c>
      <c r="U51" s="20">
        <f>SUMIFS('GL Data'!$W:$W,'GL Data'!$B:$B,$A51)</f>
        <v>114.98999999999999</v>
      </c>
      <c r="V51" s="20">
        <f>SUMIFS('GL Data'!$X:$X,'GL Data'!$B:$B,$A51)</f>
        <v>114.98999999999999</v>
      </c>
      <c r="W51" s="20">
        <f>SUMIFS('GL Data'!$Y:$Y,'GL Data'!$B:$B,$A51)</f>
        <v>114.98999999999999</v>
      </c>
      <c r="X51" s="20">
        <f>SUMIFS('GL Data'!$Z:$Z,'GL Data'!$B:$B,$A51)</f>
        <v>129.99000000000001</v>
      </c>
      <c r="Y51" s="20">
        <f>SUMIFS('GL Data'!$AA:$AA,'GL Data'!$B:$B,$A51)</f>
        <v>129.99000000000001</v>
      </c>
      <c r="Z51" s="20">
        <f>SUMIFS('GL Data'!$AB:$AB,'GL Data'!$B:$B,$A51)</f>
        <v>129.99000000000001</v>
      </c>
      <c r="AA51" s="20">
        <f>SUMIFS('GL Data'!$AC:$AC,'GL Data'!$B:$B,$A51)</f>
        <v>129.99000000000001</v>
      </c>
    </row>
    <row r="52" ht="15" customHeight="1">
      <c r="A52" s="27" t="inlineStr">
        <is>
          <t>Postage</t>
        </is>
      </c>
      <c r="C52" s="20">
        <f>SUMIFS('GL Data'!$E:$E,'GL Data'!$B:$B,$A52)</f>
        <v>25.390000000000001</v>
      </c>
      <c r="D52" s="20">
        <f>SUMIFS('GL Data'!$F:$F,'GL Data'!$B:$B,$A52)</f>
        <v>14.99</v>
      </c>
      <c r="E52" s="20">
        <f>SUMIFS('GL Data'!$G:$G,'GL Data'!$B:$B,$A52)</f>
        <v>17.32</v>
      </c>
      <c r="F52" s="20">
        <f>SUMIFS('GL Data'!$H:$H,'GL Data'!$B:$B,$A52)</f>
        <v>14.99</v>
      </c>
      <c r="G52" s="20">
        <f>SUMIFS('GL Data'!$I:$I,'GL Data'!$B:$B,$A52)</f>
        <v>30.399999999999999</v>
      </c>
      <c r="H52" s="20">
        <f>SUMIFS('GL Data'!$J:$J,'GL Data'!$B:$B,$A52)</f>
        <v>34.289999999999999</v>
      </c>
      <c r="I52" s="20">
        <f>SUMIFS('GL Data'!$K:$K,'GL Data'!$B:$B,$A52)</f>
        <v>14.99</v>
      </c>
      <c r="J52" s="20">
        <f>SUMIFS('GL Data'!$L:$L,'GL Data'!$B:$B,$A52)</f>
        <v>17.32</v>
      </c>
      <c r="K52" s="20">
        <f>SUMIFS('GL Data'!$M:$M,'GL Data'!$B:$B,$A52)</f>
        <v>14.99</v>
      </c>
      <c r="L52" s="20">
        <f>SUMIFS('GL Data'!$N:$N,'GL Data'!$B:$B,$A52)</f>
        <v>30.84</v>
      </c>
      <c r="M52" s="20">
        <f>SUMIFS('GL Data'!$O:$O,'GL Data'!$B:$B,$A52)</f>
        <v>14.99</v>
      </c>
      <c r="N52" s="20">
        <f>SUMIFS('GL Data'!$P:$P,'GL Data'!$B:$B,$A52)</f>
        <v>20.940000000000001</v>
      </c>
      <c r="O52" s="20">
        <f>SUMIFS('GL Data'!$Q:$Q,'GL Data'!$B:$B,$A52)</f>
        <v>17.32</v>
      </c>
      <c r="P52" s="20">
        <f>SUMIFS('GL Data'!$R:$R,'GL Data'!$B:$B,$A52)</f>
        <v>14.99</v>
      </c>
      <c r="Q52" s="20">
        <f>SUMIFS('GL Data'!$S:$S,'GL Data'!$B:$B,$A52)</f>
        <v>14.99</v>
      </c>
      <c r="R52" s="20">
        <f>SUMIFS('GL Data'!$T:$T,'GL Data'!$B:$B,$A52)</f>
        <v>14.99</v>
      </c>
      <c r="S52" s="20">
        <f>SUMIFS('GL Data'!$U:$U,'GL Data'!$B:$B,$A52)</f>
        <v>27.489999999999998</v>
      </c>
      <c r="T52" s="20">
        <f>SUMIFS('GL Data'!$V:$V,'GL Data'!$B:$B,$A52)</f>
        <v>14.99</v>
      </c>
      <c r="U52" s="20">
        <f>SUMIFS('GL Data'!$W:$W,'GL Data'!$B:$B,$A52)</f>
        <v>17.379999999999999</v>
      </c>
      <c r="V52" s="20">
        <f>SUMIFS('GL Data'!$X:$X,'GL Data'!$B:$B,$A52)</f>
        <v>14.99</v>
      </c>
      <c r="W52" s="20">
        <f>SUMIFS('GL Data'!$Y:$Y,'GL Data'!$B:$B,$A52)</f>
        <v>14.99</v>
      </c>
      <c r="X52" s="20">
        <f>SUMIFS('GL Data'!$Z:$Z,'GL Data'!$B:$B,$A52)</f>
        <v>27.199999999999999</v>
      </c>
      <c r="Y52" s="20">
        <f>SUMIFS('GL Data'!$AA:$AA,'GL Data'!$B:$B,$A52)</f>
        <v>14.99</v>
      </c>
      <c r="Z52" s="20">
        <f>SUMIFS('GL Data'!$AB:$AB,'GL Data'!$B:$B,$A52)</f>
        <v>14.99</v>
      </c>
      <c r="AA52" s="20">
        <f>SUMIFS('GL Data'!$AC:$AC,'GL Data'!$B:$B,$A52)</f>
        <v>22.18</v>
      </c>
    </row>
    <row r="53" ht="15" customHeight="1">
      <c r="A53" s="27" t="inlineStr">
        <is>
          <t>Office Supplies</t>
        </is>
      </c>
      <c r="C53" s="20">
        <f>SUMIFS('GL Data'!$E:$E,'GL Data'!$B:$B,$A53)</f>
        <v>0</v>
      </c>
      <c r="D53" s="20">
        <f>SUMIFS('GL Data'!$F:$F,'GL Data'!$B:$B,$A53)</f>
        <v>257.55000000000001</v>
      </c>
      <c r="E53" s="20">
        <f>SUMIFS('GL Data'!$G:$G,'GL Data'!$B:$B,$A53)</f>
        <v>0</v>
      </c>
      <c r="F53" s="20">
        <f>SUMIFS('GL Data'!$H:$H,'GL Data'!$B:$B,$A53)</f>
        <v>0</v>
      </c>
      <c r="G53" s="20">
        <f>SUMIFS('GL Data'!$I:$I,'GL Data'!$B:$B,$A53)</f>
        <v>0</v>
      </c>
      <c r="H53" s="20">
        <f>SUMIFS('GL Data'!$J:$J,'GL Data'!$B:$B,$A53)</f>
        <v>19.84</v>
      </c>
      <c r="I53" s="20">
        <f>SUMIFS('GL Data'!$K:$K,'GL Data'!$B:$B,$A53)</f>
        <v>149</v>
      </c>
      <c r="J53" s="20">
        <f>SUMIFS('GL Data'!$L:$L,'GL Data'!$B:$B,$A53)</f>
        <v>0</v>
      </c>
      <c r="K53" s="20">
        <f>SUMIFS('GL Data'!$M:$M,'GL Data'!$B:$B,$A53)</f>
        <v>0</v>
      </c>
      <c r="L53" s="20">
        <f>SUMIFS('GL Data'!$N:$N,'GL Data'!$B:$B,$A53)</f>
        <v>0</v>
      </c>
      <c r="M53" s="20">
        <f>SUMIFS('GL Data'!$O:$O,'GL Data'!$B:$B,$A53)</f>
        <v>0</v>
      </c>
      <c r="N53" s="20">
        <f>SUMIFS('GL Data'!$P:$P,'GL Data'!$B:$B,$A53)</f>
        <v>12.859999999999999</v>
      </c>
      <c r="O53" s="20">
        <f>SUMIFS('GL Data'!$Q:$Q,'GL Data'!$B:$B,$A53)</f>
        <v>0</v>
      </c>
      <c r="P53" s="20">
        <f>SUMIFS('GL Data'!$R:$R,'GL Data'!$B:$B,$A53)</f>
        <v>55.43</v>
      </c>
      <c r="Q53" s="20">
        <f>SUMIFS('GL Data'!$S:$S,'GL Data'!$B:$B,$A53)</f>
        <v>0</v>
      </c>
      <c r="R53" s="20">
        <f>SUMIFS('GL Data'!$T:$T,'GL Data'!$B:$B,$A53)</f>
        <v>0</v>
      </c>
      <c r="S53" s="20">
        <f>SUMIFS('GL Data'!$U:$U,'GL Data'!$B:$B,$A53)</f>
        <v>0</v>
      </c>
      <c r="T53" s="20">
        <f>SUMIFS('GL Data'!$V:$V,'GL Data'!$B:$B,$A53)</f>
        <v>0</v>
      </c>
      <c r="U53" s="20">
        <f>SUMIFS('GL Data'!$W:$W,'GL Data'!$B:$B,$A53)</f>
        <v>0</v>
      </c>
      <c r="V53" s="20">
        <f>SUMIFS('GL Data'!$X:$X,'GL Data'!$B:$B,$A53)</f>
        <v>0</v>
      </c>
      <c r="W53" s="20">
        <f>SUMIFS('GL Data'!$Y:$Y,'GL Data'!$B:$B,$A53)</f>
        <v>0</v>
      </c>
      <c r="X53" s="20">
        <f>SUMIFS('GL Data'!$Z:$Z,'GL Data'!$B:$B,$A53)</f>
        <v>0</v>
      </c>
      <c r="Y53" s="20">
        <f>SUMIFS('GL Data'!$AA:$AA,'GL Data'!$B:$B,$A53)</f>
        <v>0</v>
      </c>
      <c r="Z53" s="20">
        <f>SUMIFS('GL Data'!$AB:$AB,'GL Data'!$B:$B,$A53)</f>
        <v>0</v>
      </c>
      <c r="AA53" s="20">
        <f>SUMIFS('GL Data'!$AC:$AC,'GL Data'!$B:$B,$A53)</f>
        <v>0</v>
      </c>
    </row>
    <row r="54" ht="15" customHeight="1">
      <c r="A54" s="27" t="inlineStr">
        <is>
          <t>Travel</t>
        </is>
      </c>
      <c r="C54" s="20">
        <f>SUMIFS('GL Data'!$E:$E,'GL Data'!$B:$B,$A54)</f>
        <v>415.49000000000001</v>
      </c>
      <c r="D54" s="20">
        <f>SUMIFS('GL Data'!$F:$F,'GL Data'!$B:$B,$A54)</f>
        <v>415.45999999999998</v>
      </c>
      <c r="E54" s="20">
        <f>SUMIFS('GL Data'!$G:$G,'GL Data'!$B:$B,$A54)</f>
        <v>0</v>
      </c>
      <c r="F54" s="20">
        <f>SUMIFS('GL Data'!$H:$H,'GL Data'!$B:$B,$A54)</f>
        <v>0</v>
      </c>
      <c r="G54" s="20">
        <f>SUMIFS('GL Data'!$I:$I,'GL Data'!$B:$B,$A54)</f>
        <v>0</v>
      </c>
      <c r="H54" s="20">
        <f>SUMIFS('GL Data'!$J:$J,'GL Data'!$B:$B,$A54)</f>
        <v>0</v>
      </c>
      <c r="I54" s="20">
        <f>SUMIFS('GL Data'!$K:$K,'GL Data'!$B:$B,$A54)</f>
        <v>966.45000000000005</v>
      </c>
      <c r="J54" s="20">
        <f>SUMIFS('GL Data'!$L:$L,'GL Data'!$B:$B,$A54)</f>
        <v>571.52999999999997</v>
      </c>
      <c r="K54" s="20">
        <f>SUMIFS('GL Data'!$M:$M,'GL Data'!$B:$B,$A54)</f>
        <v>571.52999999999997</v>
      </c>
      <c r="L54" s="20">
        <f>SUMIFS('GL Data'!$N:$N,'GL Data'!$B:$B,$A54)</f>
        <v>1726.6400000000001</v>
      </c>
      <c r="M54" s="20">
        <f>SUMIFS('GL Data'!$O:$O,'GL Data'!$B:$B,$A54)</f>
        <v>-442.91000000000003</v>
      </c>
      <c r="N54" s="20">
        <f>SUMIFS('GL Data'!$P:$P,'GL Data'!$B:$B,$A54)</f>
        <v>571</v>
      </c>
      <c r="O54" s="20">
        <f>SUMIFS('GL Data'!$Q:$Q,'GL Data'!$B:$B,$A54)</f>
        <v>0</v>
      </c>
      <c r="P54" s="20">
        <f>SUMIFS('GL Data'!$R:$R,'GL Data'!$B:$B,$A54)</f>
        <v>0</v>
      </c>
      <c r="Q54" s="20">
        <f>SUMIFS('GL Data'!$S:$S,'GL Data'!$B:$B,$A54)</f>
        <v>0</v>
      </c>
      <c r="R54" s="20">
        <f>SUMIFS('GL Data'!$T:$T,'GL Data'!$B:$B,$A54)</f>
        <v>0</v>
      </c>
      <c r="S54" s="20">
        <f>SUMIFS('GL Data'!$U:$U,'GL Data'!$B:$B,$A54)</f>
        <v>0</v>
      </c>
      <c r="T54" s="20">
        <f>SUMIFS('GL Data'!$V:$V,'GL Data'!$B:$B,$A54)</f>
        <v>0</v>
      </c>
      <c r="U54" s="20">
        <f>SUMIFS('GL Data'!$W:$W,'GL Data'!$B:$B,$A54)</f>
        <v>0</v>
      </c>
      <c r="V54" s="20">
        <f>SUMIFS('GL Data'!$X:$X,'GL Data'!$B:$B,$A54)</f>
        <v>582.27999999999997</v>
      </c>
      <c r="W54" s="20">
        <f>SUMIFS('GL Data'!$Y:$Y,'GL Data'!$B:$B,$A54)</f>
        <v>0</v>
      </c>
      <c r="X54" s="20">
        <f>SUMIFS('GL Data'!$Z:$Z,'GL Data'!$B:$B,$A54)</f>
        <v>0</v>
      </c>
      <c r="Y54" s="20">
        <f>SUMIFS('GL Data'!$AA:$AA,'GL Data'!$B:$B,$A54)</f>
        <v>0</v>
      </c>
      <c r="Z54" s="20">
        <f>SUMIFS('GL Data'!$AB:$AB,'GL Data'!$B:$B,$A54)</f>
        <v>0</v>
      </c>
      <c r="AA54" s="20">
        <f>SUMIFS('GL Data'!$AC:$AC,'GL Data'!$B:$B,$A54)</f>
        <v>1191.54</v>
      </c>
    </row>
    <row r="55" ht="15" customHeight="1">
      <c r="A55" s="27" t="inlineStr">
        <is>
          <t>Meals</t>
        </is>
      </c>
      <c r="C55" s="20">
        <f>SUMIFS('GL Data'!$E:$E,'GL Data'!$B:$B,$A55)</f>
        <v>0</v>
      </c>
      <c r="D55" s="20">
        <f>SUMIFS('GL Data'!$F:$F,'GL Data'!$B:$B,$A55)</f>
        <v>0</v>
      </c>
      <c r="E55" s="20">
        <f>SUMIFS('GL Data'!$G:$G,'GL Data'!$B:$B,$A55)</f>
        <v>0</v>
      </c>
      <c r="F55" s="20">
        <f>SUMIFS('GL Data'!$H:$H,'GL Data'!$B:$B,$A55)</f>
        <v>0</v>
      </c>
      <c r="G55" s="20">
        <f>SUMIFS('GL Data'!$I:$I,'GL Data'!$B:$B,$A55)</f>
        <v>0</v>
      </c>
      <c r="H55" s="20">
        <f>SUMIFS('GL Data'!$J:$J,'GL Data'!$B:$B,$A55)</f>
        <v>0</v>
      </c>
      <c r="I55" s="20">
        <f>SUMIFS('GL Data'!$K:$K,'GL Data'!$B:$B,$A55)</f>
        <v>0</v>
      </c>
      <c r="J55" s="20">
        <f>SUMIFS('GL Data'!$L:$L,'GL Data'!$B:$B,$A55)</f>
        <v>0</v>
      </c>
      <c r="K55" s="20">
        <f>SUMIFS('GL Data'!$M:$M,'GL Data'!$B:$B,$A55)</f>
        <v>0</v>
      </c>
      <c r="L55" s="20">
        <f>SUMIFS('GL Data'!$N:$N,'GL Data'!$B:$B,$A55)</f>
        <v>0</v>
      </c>
      <c r="M55" s="20">
        <f>SUMIFS('GL Data'!$O:$O,'GL Data'!$B:$B,$A55)</f>
        <v>0</v>
      </c>
      <c r="N55" s="20">
        <f>SUMIFS('GL Data'!$P:$P,'GL Data'!$B:$B,$A55)</f>
        <v>0</v>
      </c>
      <c r="O55" s="20">
        <f>SUMIFS('GL Data'!$Q:$Q,'GL Data'!$B:$B,$A55)</f>
        <v>0</v>
      </c>
      <c r="P55" s="20">
        <f>SUMIFS('GL Data'!$R:$R,'GL Data'!$B:$B,$A55)</f>
        <v>0</v>
      </c>
      <c r="Q55" s="20">
        <f>SUMIFS('GL Data'!$S:$S,'GL Data'!$B:$B,$A55)</f>
        <v>0</v>
      </c>
      <c r="R55" s="20">
        <f>SUMIFS('GL Data'!$T:$T,'GL Data'!$B:$B,$A55)</f>
        <v>0</v>
      </c>
      <c r="S55" s="20">
        <f>SUMIFS('GL Data'!$U:$U,'GL Data'!$B:$B,$A55)</f>
        <v>0</v>
      </c>
      <c r="T55" s="20">
        <f>SUMIFS('GL Data'!$V:$V,'GL Data'!$B:$B,$A55)</f>
        <v>0</v>
      </c>
      <c r="U55" s="20">
        <f>SUMIFS('GL Data'!$W:$W,'GL Data'!$B:$B,$A55)</f>
        <v>0</v>
      </c>
      <c r="V55" s="20">
        <f>SUMIFS('GL Data'!$X:$X,'GL Data'!$B:$B,$A55)</f>
        <v>0</v>
      </c>
      <c r="W55" s="20">
        <f>SUMIFS('GL Data'!$Y:$Y,'GL Data'!$B:$B,$A55)</f>
        <v>0</v>
      </c>
      <c r="X55" s="20">
        <f>SUMIFS('GL Data'!$Z:$Z,'GL Data'!$B:$B,$A55)</f>
        <v>0</v>
      </c>
      <c r="Y55" s="20">
        <f>SUMIFS('GL Data'!$AA:$AA,'GL Data'!$B:$B,$A55)</f>
        <v>0</v>
      </c>
      <c r="Z55" s="20">
        <f>SUMIFS('GL Data'!$AB:$AB,'GL Data'!$B:$B,$A55)</f>
        <v>0</v>
      </c>
      <c r="AA55" s="20">
        <f>SUMIFS('GL Data'!$AC:$AC,'GL Data'!$B:$B,$A55)</f>
        <v>0</v>
      </c>
    </row>
    <row r="56" ht="15" customHeight="1">
      <c r="A56" s="27" t="inlineStr">
        <is>
          <t>Training and Development</t>
        </is>
      </c>
      <c r="C56" s="20">
        <f>SUMIFS('GL Data'!$E:$E,'GL Data'!$B:$B,$A56)</f>
        <v>52.259999999999998</v>
      </c>
      <c r="D56" s="20">
        <f>SUMIFS('GL Data'!$F:$F,'GL Data'!$B:$B,$A56)</f>
        <v>442</v>
      </c>
      <c r="E56" s="20">
        <f>SUMIFS('GL Data'!$G:$G,'GL Data'!$B:$B,$A56)</f>
        <v>463</v>
      </c>
      <c r="F56" s="20">
        <f>SUMIFS('GL Data'!$H:$H,'GL Data'!$B:$B,$A56)</f>
        <v>49.57</v>
      </c>
      <c r="G56" s="20">
        <f>SUMIFS('GL Data'!$I:$I,'GL Data'!$B:$B,$A56)</f>
        <v>47</v>
      </c>
      <c r="H56" s="20">
        <f>SUMIFS('GL Data'!$J:$J,'GL Data'!$B:$B,$A56)</f>
        <v>47</v>
      </c>
      <c r="I56" s="20">
        <f>SUMIFS('GL Data'!$K:$K,'GL Data'!$B:$B,$A56)</f>
        <v>47</v>
      </c>
      <c r="J56" s="20">
        <f>SUMIFS('GL Data'!$L:$L,'GL Data'!$B:$B,$A56)</f>
        <v>74.640000000000001</v>
      </c>
      <c r="K56" s="20">
        <f>SUMIFS('GL Data'!$M:$M,'GL Data'!$B:$B,$A56)</f>
        <v>27</v>
      </c>
      <c r="L56" s="20">
        <f>SUMIFS('GL Data'!$N:$N,'GL Data'!$B:$B,$A56)</f>
        <v>0</v>
      </c>
      <c r="M56" s="20">
        <f>SUMIFS('GL Data'!$O:$O,'GL Data'!$B:$B,$A56)</f>
        <v>0</v>
      </c>
      <c r="N56" s="20">
        <f>SUMIFS('GL Data'!$P:$P,'GL Data'!$B:$B,$A56)</f>
        <v>0</v>
      </c>
      <c r="O56" s="20">
        <f>SUMIFS('GL Data'!$Q:$Q,'GL Data'!$B:$B,$A56)</f>
        <v>0</v>
      </c>
      <c r="P56" s="20">
        <f>SUMIFS('GL Data'!$R:$R,'GL Data'!$B:$B,$A56)</f>
        <v>0</v>
      </c>
      <c r="Q56" s="20">
        <f>SUMIFS('GL Data'!$S:$S,'GL Data'!$B:$B,$A56)</f>
        <v>89.170000000000002</v>
      </c>
      <c r="R56" s="20">
        <f>SUMIFS('GL Data'!$T:$T,'GL Data'!$B:$B,$A56)</f>
        <v>0</v>
      </c>
      <c r="S56" s="20">
        <f>SUMIFS('GL Data'!$U:$U,'GL Data'!$B:$B,$A56)</f>
        <v>1145</v>
      </c>
      <c r="T56" s="20">
        <f>SUMIFS('GL Data'!$V:$V,'GL Data'!$B:$B,$A56)</f>
        <v>0</v>
      </c>
      <c r="U56" s="20">
        <f>SUMIFS('GL Data'!$W:$W,'GL Data'!$B:$B,$A56)</f>
        <v>500</v>
      </c>
      <c r="V56" s="20">
        <f>SUMIFS('GL Data'!$X:$X,'GL Data'!$B:$B,$A56)</f>
        <v>0</v>
      </c>
      <c r="W56" s="20">
        <f>SUMIFS('GL Data'!$Y:$Y,'GL Data'!$B:$B,$A56)</f>
        <v>107.25</v>
      </c>
      <c r="X56" s="20">
        <f>SUMIFS('GL Data'!$Z:$Z,'GL Data'!$B:$B,$A56)</f>
        <v>0</v>
      </c>
      <c r="Y56" s="20">
        <f>SUMIFS('GL Data'!$AA:$AA,'GL Data'!$B:$B,$A56)</f>
        <v>0</v>
      </c>
      <c r="Z56" s="20">
        <f>SUMIFS('GL Data'!$AB:$AB,'GL Data'!$B:$B,$A56)</f>
        <v>0</v>
      </c>
      <c r="AA56" s="20">
        <f>SUMIFS('GL Data'!$AC:$AC,'GL Data'!$B:$B,$A56)</f>
        <v>0</v>
      </c>
    </row>
    <row r="57" ht="15" customHeight="1">
      <c r="A57" s="27" t="inlineStr">
        <is>
          <t>Rent Expense</t>
        </is>
      </c>
      <c r="C57" s="20">
        <f>SUMIFS('GL Data'!$E:$E,'GL Data'!$B:$B,$A57)</f>
        <v>327.05000000000001</v>
      </c>
      <c r="D57" s="20">
        <f>SUMIFS('GL Data'!$F:$F,'GL Data'!$B:$B,$A57)</f>
        <v>330.63</v>
      </c>
      <c r="E57" s="20">
        <f>SUMIFS('GL Data'!$G:$G,'GL Data'!$B:$B,$A57)</f>
        <v>0</v>
      </c>
      <c r="F57" s="20">
        <f>SUMIFS('GL Data'!$H:$H,'GL Data'!$B:$B,$A57)</f>
        <v>684.70000000000005</v>
      </c>
      <c r="G57" s="20">
        <f>SUMIFS('GL Data'!$I:$I,'GL Data'!$B:$B,$A57)</f>
        <v>330.89999999999998</v>
      </c>
      <c r="H57" s="20">
        <f>SUMIFS('GL Data'!$J:$J,'GL Data'!$B:$B,$A57)</f>
        <v>326.22000000000003</v>
      </c>
      <c r="I57" s="20">
        <f>SUMIFS('GL Data'!$K:$K,'GL Data'!$B:$B,$A57)</f>
        <v>327.06999999999999</v>
      </c>
      <c r="J57" s="20">
        <f>SUMIFS('GL Data'!$L:$L,'GL Data'!$B:$B,$A57)</f>
        <v>327.63999999999999</v>
      </c>
      <c r="K57" s="20">
        <f>SUMIFS('GL Data'!$M:$M,'GL Data'!$B:$B,$A57)</f>
        <v>331.32999999999998</v>
      </c>
      <c r="L57" s="20">
        <f>SUMIFS('GL Data'!$N:$N,'GL Data'!$B:$B,$A57)</f>
        <v>0</v>
      </c>
      <c r="M57" s="20">
        <f>SUMIFS('GL Data'!$O:$O,'GL Data'!$B:$B,$A57)</f>
        <v>0</v>
      </c>
      <c r="N57" s="20">
        <f>SUMIFS('GL Data'!$P:$P,'GL Data'!$B:$B,$A57)</f>
        <v>0</v>
      </c>
      <c r="O57" s="20">
        <f>SUMIFS('GL Data'!$Q:$Q,'GL Data'!$B:$B,$A57)</f>
        <v>0</v>
      </c>
      <c r="P57" s="20">
        <f>SUMIFS('GL Data'!$R:$R,'GL Data'!$B:$B,$A57)</f>
        <v>0</v>
      </c>
      <c r="Q57" s="20">
        <f>SUMIFS('GL Data'!$S:$S,'GL Data'!$B:$B,$A57)</f>
        <v>0</v>
      </c>
      <c r="R57" s="20">
        <f>SUMIFS('GL Data'!$T:$T,'GL Data'!$B:$B,$A57)</f>
        <v>0</v>
      </c>
      <c r="S57" s="20">
        <f>SUMIFS('GL Data'!$U:$U,'GL Data'!$B:$B,$A57)</f>
        <v>0</v>
      </c>
      <c r="T57" s="20">
        <f>SUMIFS('GL Data'!$V:$V,'GL Data'!$B:$B,$A57)</f>
        <v>0</v>
      </c>
      <c r="U57" s="20">
        <f>SUMIFS('GL Data'!$W:$W,'GL Data'!$B:$B,$A57)</f>
        <v>0</v>
      </c>
      <c r="V57" s="20">
        <f>SUMIFS('GL Data'!$X:$X,'GL Data'!$B:$B,$A57)</f>
        <v>0</v>
      </c>
      <c r="W57" s="20">
        <f>SUMIFS('GL Data'!$Y:$Y,'GL Data'!$B:$B,$A57)</f>
        <v>0</v>
      </c>
      <c r="X57" s="20">
        <f>SUMIFS('GL Data'!$Z:$Z,'GL Data'!$B:$B,$A57)</f>
        <v>0</v>
      </c>
      <c r="Y57" s="20">
        <f>SUMIFS('GL Data'!$AA:$AA,'GL Data'!$B:$B,$A57)</f>
        <v>0</v>
      </c>
      <c r="Z57" s="20">
        <f>SUMIFS('GL Data'!$AB:$AB,'GL Data'!$B:$B,$A57)</f>
        <v>0</v>
      </c>
      <c r="AA57" s="20">
        <f>SUMIFS('GL Data'!$AC:$AC,'GL Data'!$B:$B,$A57)</f>
        <v>0</v>
      </c>
    </row>
    <row r="58" ht="15" customHeight="1">
      <c r="A58" s="27" t="inlineStr">
        <is>
          <t>Legal &amp; Professional Services</t>
        </is>
      </c>
      <c r="C58" s="20">
        <f>SUMIFS('GL Data'!$E:$E,'GL Data'!$B:$B,$A58)</f>
        <v>721.57000000000005</v>
      </c>
      <c r="D58" s="20">
        <f>SUMIFS('GL Data'!$F:$F,'GL Data'!$B:$B,$A58)</f>
        <v>2778.75</v>
      </c>
      <c r="E58" s="20">
        <f>SUMIFS('GL Data'!$G:$G,'GL Data'!$B:$B,$A58)</f>
        <v>1910</v>
      </c>
      <c r="F58" s="20">
        <f>SUMIFS('GL Data'!$H:$H,'GL Data'!$B:$B,$A58)</f>
        <v>3291.25</v>
      </c>
      <c r="G58" s="20">
        <f>SUMIFS('GL Data'!$I:$I,'GL Data'!$B:$B,$A58)</f>
        <v>2759.1500000000001</v>
      </c>
      <c r="H58" s="20">
        <f>SUMIFS('GL Data'!$J:$J,'GL Data'!$B:$B,$A58)</f>
        <v>3190.6199999999999</v>
      </c>
      <c r="I58" s="20">
        <f>SUMIFS('GL Data'!$K:$K,'GL Data'!$B:$B,$A58)</f>
        <v>6380.6999999999998</v>
      </c>
      <c r="J58" s="20">
        <f>SUMIFS('GL Data'!$L:$L,'GL Data'!$B:$B,$A58)</f>
        <v>3271.8000000000002</v>
      </c>
      <c r="K58" s="20">
        <f>SUMIFS('GL Data'!$M:$M,'GL Data'!$B:$B,$A58)</f>
        <v>1925</v>
      </c>
      <c r="L58" s="20">
        <f>SUMIFS('GL Data'!$N:$N,'GL Data'!$B:$B,$A58)</f>
        <v>425</v>
      </c>
      <c r="M58" s="20">
        <f>SUMIFS('GL Data'!$O:$O,'GL Data'!$B:$B,$A58)</f>
        <v>425</v>
      </c>
      <c r="N58" s="20">
        <f>SUMIFS('GL Data'!$P:$P,'GL Data'!$B:$B,$A58)</f>
        <v>1777.1500000000001</v>
      </c>
      <c r="O58" s="20">
        <f>SUMIFS('GL Data'!$Q:$Q,'GL Data'!$B:$B,$A58)</f>
        <v>1112.5</v>
      </c>
      <c r="P58" s="20">
        <f>SUMIFS('GL Data'!$R:$R,'GL Data'!$B:$B,$A58)</f>
        <v>425</v>
      </c>
      <c r="Q58" s="20">
        <f>SUMIFS('GL Data'!$S:$S,'GL Data'!$B:$B,$A58)</f>
        <v>425</v>
      </c>
      <c r="R58" s="20">
        <f>SUMIFS('GL Data'!$T:$T,'GL Data'!$B:$B,$A58)</f>
        <v>1387.5</v>
      </c>
      <c r="S58" s="20">
        <f>SUMIFS('GL Data'!$U:$U,'GL Data'!$B:$B,$A58)</f>
        <v>425</v>
      </c>
      <c r="T58" s="20">
        <f>SUMIFS('GL Data'!$V:$V,'GL Data'!$B:$B,$A58)</f>
        <v>700</v>
      </c>
      <c r="U58" s="20">
        <f>SUMIFS('GL Data'!$W:$W,'GL Data'!$B:$B,$A58)</f>
        <v>700</v>
      </c>
      <c r="V58" s="20">
        <f>SUMIFS('GL Data'!$X:$X,'GL Data'!$B:$B,$A58)</f>
        <v>425</v>
      </c>
      <c r="W58" s="20">
        <f>SUMIFS('GL Data'!$Y:$Y,'GL Data'!$B:$B,$A58)</f>
        <v>425</v>
      </c>
      <c r="X58" s="20">
        <f>SUMIFS('GL Data'!$Z:$Z,'GL Data'!$B:$B,$A58)</f>
        <v>425</v>
      </c>
      <c r="Y58" s="20">
        <f>SUMIFS('GL Data'!$AA:$AA,'GL Data'!$B:$B,$A58)</f>
        <v>425</v>
      </c>
      <c r="Z58" s="20">
        <f>SUMIFS('GL Data'!$AB:$AB,'GL Data'!$B:$B,$A58)</f>
        <v>425</v>
      </c>
      <c r="AA58" s="20">
        <f>SUMIFS('GL Data'!$AC:$AC,'GL Data'!$B:$B,$A58)</f>
        <v>425</v>
      </c>
    </row>
    <row r="59" ht="15" customHeight="1">
      <c r="A59" s="27" t="inlineStr">
        <is>
          <t>Charitable Contributions</t>
        </is>
      </c>
      <c r="C59" s="20">
        <f>SUMIFS('GL Data'!$E:$E,'GL Data'!$B:$B,$A59)</f>
        <v>0</v>
      </c>
      <c r="D59" s="20">
        <f>SUMIFS('GL Data'!$F:$F,'GL Data'!$B:$B,$A59)</f>
        <v>0</v>
      </c>
      <c r="E59" s="20">
        <f>SUMIFS('GL Data'!$G:$G,'GL Data'!$B:$B,$A59)</f>
        <v>0</v>
      </c>
      <c r="F59" s="20">
        <f>SUMIFS('GL Data'!$H:$H,'GL Data'!$B:$B,$A59)</f>
        <v>0</v>
      </c>
      <c r="G59" s="20">
        <f>SUMIFS('GL Data'!$I:$I,'GL Data'!$B:$B,$A59)</f>
        <v>0</v>
      </c>
      <c r="H59" s="20">
        <f>SUMIFS('GL Data'!$J:$J,'GL Data'!$B:$B,$A59)</f>
        <v>0</v>
      </c>
      <c r="I59" s="20">
        <f>SUMIFS('GL Data'!$K:$K,'GL Data'!$B:$B,$A59)</f>
        <v>0</v>
      </c>
      <c r="J59" s="20">
        <f>SUMIFS('GL Data'!$L:$L,'GL Data'!$B:$B,$A59)</f>
        <v>0</v>
      </c>
      <c r="K59" s="20">
        <f>SUMIFS('GL Data'!$M:$M,'GL Data'!$B:$B,$A59)</f>
        <v>0</v>
      </c>
      <c r="L59" s="20">
        <f>SUMIFS('GL Data'!$N:$N,'GL Data'!$B:$B,$A59)</f>
        <v>0</v>
      </c>
      <c r="M59" s="20">
        <f>SUMIFS('GL Data'!$O:$O,'GL Data'!$B:$B,$A59)</f>
        <v>0</v>
      </c>
      <c r="N59" s="20">
        <f>SUMIFS('GL Data'!$P:$P,'GL Data'!$B:$B,$A59)</f>
        <v>0</v>
      </c>
      <c r="O59" s="20">
        <f>SUMIFS('GL Data'!$Q:$Q,'GL Data'!$B:$B,$A59)</f>
        <v>0</v>
      </c>
      <c r="P59" s="20">
        <f>SUMIFS('GL Data'!$R:$R,'GL Data'!$B:$B,$A59)</f>
        <v>0</v>
      </c>
      <c r="Q59" s="20">
        <f>SUMIFS('GL Data'!$S:$S,'GL Data'!$B:$B,$A59)</f>
        <v>0</v>
      </c>
      <c r="R59" s="20">
        <f>SUMIFS('GL Data'!$T:$T,'GL Data'!$B:$B,$A59)</f>
        <v>0</v>
      </c>
      <c r="S59" s="20">
        <f>SUMIFS('GL Data'!$U:$U,'GL Data'!$B:$B,$A59)</f>
        <v>100</v>
      </c>
      <c r="T59" s="20">
        <f>SUMIFS('GL Data'!$V:$V,'GL Data'!$B:$B,$A59)</f>
        <v>0</v>
      </c>
      <c r="U59" s="20">
        <f>SUMIFS('GL Data'!$W:$W,'GL Data'!$B:$B,$A59)</f>
        <v>200</v>
      </c>
      <c r="V59" s="20">
        <f>SUMIFS('GL Data'!$X:$X,'GL Data'!$B:$B,$A59)</f>
        <v>100</v>
      </c>
      <c r="W59" s="20">
        <f>SUMIFS('GL Data'!$Y:$Y,'GL Data'!$B:$B,$A59)</f>
        <v>100</v>
      </c>
      <c r="X59" s="20">
        <f>SUMIFS('GL Data'!$Z:$Z,'GL Data'!$B:$B,$A59)</f>
        <v>100</v>
      </c>
      <c r="Y59" s="20">
        <f>SUMIFS('GL Data'!$AA:$AA,'GL Data'!$B:$B,$A59)</f>
        <v>100</v>
      </c>
      <c r="Z59" s="20">
        <f>SUMIFS('GL Data'!$AB:$AB,'GL Data'!$B:$B,$A59)</f>
        <v>100</v>
      </c>
      <c r="AA59" s="20">
        <f>SUMIFS('GL Data'!$AC:$AC,'GL Data'!$B:$B,$A59)</f>
        <v>100</v>
      </c>
    </row>
    <row r="60" ht="15" customHeight="1">
      <c r="A60" s="27" t="inlineStr">
        <is>
          <t>Taxes &amp; Licenses</t>
        </is>
      </c>
      <c r="C60" s="20">
        <f>SUMIFS('GL Data'!$E:$E,'GL Data'!$B:$B,$A60)</f>
        <v>0</v>
      </c>
      <c r="D60" s="20">
        <f>SUMIFS('GL Data'!$F:$F,'GL Data'!$B:$B,$A60)</f>
        <v>0</v>
      </c>
      <c r="E60" s="20">
        <f>SUMIFS('GL Data'!$G:$G,'GL Data'!$B:$B,$A60)</f>
        <v>0</v>
      </c>
      <c r="F60" s="20">
        <f>SUMIFS('GL Data'!$H:$H,'GL Data'!$B:$B,$A60)</f>
        <v>0</v>
      </c>
      <c r="G60" s="20">
        <f>SUMIFS('GL Data'!$I:$I,'GL Data'!$B:$B,$A60)</f>
        <v>0</v>
      </c>
      <c r="H60" s="20">
        <f>SUMIFS('GL Data'!$J:$J,'GL Data'!$B:$B,$A60)</f>
        <v>0</v>
      </c>
      <c r="I60" s="20">
        <f>SUMIFS('GL Data'!$K:$K,'GL Data'!$B:$B,$A60)</f>
        <v>0</v>
      </c>
      <c r="J60" s="20">
        <f>SUMIFS('GL Data'!$L:$L,'GL Data'!$B:$B,$A60)</f>
        <v>0</v>
      </c>
      <c r="K60" s="20">
        <f>SUMIFS('GL Data'!$M:$M,'GL Data'!$B:$B,$A60)</f>
        <v>25</v>
      </c>
      <c r="L60" s="20">
        <f>SUMIFS('GL Data'!$N:$N,'GL Data'!$B:$B,$A60)</f>
        <v>0</v>
      </c>
      <c r="M60" s="20">
        <f>SUMIFS('GL Data'!$O:$O,'GL Data'!$B:$B,$A60)</f>
        <v>0</v>
      </c>
      <c r="N60" s="20">
        <f>SUMIFS('GL Data'!$P:$P,'GL Data'!$B:$B,$A60)</f>
        <v>0</v>
      </c>
      <c r="O60" s="20">
        <f>SUMIFS('GL Data'!$Q:$Q,'GL Data'!$B:$B,$A60)</f>
        <v>0</v>
      </c>
      <c r="P60" s="20">
        <f>SUMIFS('GL Data'!$R:$R,'GL Data'!$B:$B,$A60)</f>
        <v>0</v>
      </c>
      <c r="Q60" s="20">
        <f>SUMIFS('GL Data'!$S:$S,'GL Data'!$B:$B,$A60)</f>
        <v>0</v>
      </c>
      <c r="R60" s="20">
        <f>SUMIFS('GL Data'!$T:$T,'GL Data'!$B:$B,$A60)</f>
        <v>0</v>
      </c>
      <c r="S60" s="20">
        <f>SUMIFS('GL Data'!$U:$U,'GL Data'!$B:$B,$A60)</f>
        <v>0</v>
      </c>
      <c r="T60" s="20">
        <f>SUMIFS('GL Data'!$V:$V,'GL Data'!$B:$B,$A60)</f>
        <v>0</v>
      </c>
      <c r="U60" s="20">
        <f>SUMIFS('GL Data'!$W:$W,'GL Data'!$B:$B,$A60)</f>
        <v>0</v>
      </c>
      <c r="V60" s="20">
        <f>SUMIFS('GL Data'!$X:$X,'GL Data'!$B:$B,$A60)</f>
        <v>0</v>
      </c>
      <c r="W60" s="20">
        <f>SUMIFS('GL Data'!$Y:$Y,'GL Data'!$B:$B,$A60)</f>
        <v>0</v>
      </c>
      <c r="X60" s="20">
        <f>SUMIFS('GL Data'!$Z:$Z,'GL Data'!$B:$B,$A60)</f>
        <v>0</v>
      </c>
      <c r="Y60" s="20">
        <f>SUMIFS('GL Data'!$AA:$AA,'GL Data'!$B:$B,$A60)</f>
        <v>0</v>
      </c>
      <c r="Z60" s="20">
        <f>SUMIFS('GL Data'!$AB:$AB,'GL Data'!$B:$B,$A60)</f>
        <v>0</v>
      </c>
      <c r="AA60" s="20">
        <f>SUMIFS('GL Data'!$AC:$AC,'GL Data'!$B:$B,$A60)</f>
        <v>0</v>
      </c>
    </row>
    <row r="61" ht="15" customHeight="1">
      <c r="A61" s="27" t="inlineStr">
        <is>
          <t>Home Office Deduction</t>
        </is>
      </c>
      <c r="C61" s="20">
        <f>SUMIFS('GL Data'!$E:$E,'GL Data'!$B:$B,$A61)</f>
        <v>0</v>
      </c>
      <c r="D61" s="20">
        <f>SUMIFS('GL Data'!$F:$F,'GL Data'!$B:$B,$A61)</f>
        <v>0</v>
      </c>
      <c r="E61" s="20">
        <f>SUMIFS('GL Data'!$G:$G,'GL Data'!$B:$B,$A61)</f>
        <v>0</v>
      </c>
      <c r="F61" s="20">
        <f>SUMIFS('GL Data'!$H:$H,'GL Data'!$B:$B,$A61)</f>
        <v>0</v>
      </c>
      <c r="G61" s="20">
        <f>SUMIFS('GL Data'!$I:$I,'GL Data'!$B:$B,$A61)</f>
        <v>0</v>
      </c>
      <c r="H61" s="20">
        <f>SUMIFS('GL Data'!$J:$J,'GL Data'!$B:$B,$A61)</f>
        <v>0</v>
      </c>
      <c r="I61" s="20">
        <f>SUMIFS('GL Data'!$K:$K,'GL Data'!$B:$B,$A61)</f>
        <v>11424.73</v>
      </c>
      <c r="J61" s="20">
        <f>SUMIFS('GL Data'!$L:$L,'GL Data'!$B:$B,$A61)</f>
        <v>0</v>
      </c>
      <c r="K61" s="20">
        <f>SUMIFS('GL Data'!$M:$M,'GL Data'!$B:$B,$A61)</f>
        <v>0</v>
      </c>
      <c r="L61" s="20">
        <f>SUMIFS('GL Data'!$N:$N,'GL Data'!$B:$B,$A61)</f>
        <v>0</v>
      </c>
      <c r="M61" s="20">
        <f>SUMIFS('GL Data'!$O:$O,'GL Data'!$B:$B,$A61)</f>
        <v>0</v>
      </c>
      <c r="N61" s="20">
        <f>SUMIFS('GL Data'!$P:$P,'GL Data'!$B:$B,$A61)</f>
        <v>0</v>
      </c>
      <c r="O61" s="20">
        <f>SUMIFS('GL Data'!$Q:$Q,'GL Data'!$B:$B,$A61)</f>
        <v>0</v>
      </c>
      <c r="P61" s="20">
        <f>SUMIFS('GL Data'!$R:$R,'GL Data'!$B:$B,$A61)</f>
        <v>0</v>
      </c>
      <c r="Q61" s="20">
        <f>SUMIFS('GL Data'!$S:$S,'GL Data'!$B:$B,$A61)</f>
        <v>0</v>
      </c>
      <c r="R61" s="20">
        <f>SUMIFS('GL Data'!$T:$T,'GL Data'!$B:$B,$A61)</f>
        <v>0</v>
      </c>
      <c r="S61" s="20">
        <f>SUMIFS('GL Data'!$U:$U,'GL Data'!$B:$B,$A61)</f>
        <v>0</v>
      </c>
      <c r="T61" s="20">
        <f>SUMIFS('GL Data'!$V:$V,'GL Data'!$B:$B,$A61)</f>
        <v>0</v>
      </c>
      <c r="U61" s="20">
        <f>SUMIFS('GL Data'!$W:$W,'GL Data'!$B:$B,$A61)</f>
        <v>6986.8000000000002</v>
      </c>
      <c r="V61" s="20">
        <f>SUMIFS('GL Data'!$X:$X,'GL Data'!$B:$B,$A61)</f>
        <v>0</v>
      </c>
      <c r="W61" s="20">
        <f>SUMIFS('GL Data'!$Y:$Y,'GL Data'!$B:$B,$A61)</f>
        <v>0</v>
      </c>
      <c r="X61" s="20">
        <f>SUMIFS('GL Data'!$Z:$Z,'GL Data'!$B:$B,$A61)</f>
        <v>0</v>
      </c>
      <c r="Y61" s="20">
        <f>SUMIFS('GL Data'!$AA:$AA,'GL Data'!$B:$B,$A61)</f>
        <v>0</v>
      </c>
      <c r="Z61" s="20">
        <f>SUMIFS('GL Data'!$AB:$AB,'GL Data'!$B:$B,$A61)</f>
        <v>0</v>
      </c>
      <c r="AA61" s="20">
        <f>SUMIFS('GL Data'!$AC:$AC,'GL Data'!$B:$B,$A61)</f>
        <v>0</v>
      </c>
    </row>
    <row r="62" ht="15" customHeight="1">
      <c r="A62" s="27" t="inlineStr">
        <is>
          <t>Academy Transfer Fees</t>
        </is>
      </c>
      <c r="C62" s="20">
        <f>SUMIFS('GL Data'!$E:$E,'GL Data'!$B:$B,$A62)</f>
        <v>0.67000000000000004</v>
      </c>
      <c r="D62" s="20">
        <f>SUMIFS('GL Data'!$F:$F,'GL Data'!$B:$B,$A62)</f>
        <v>0.67000000000000004</v>
      </c>
      <c r="E62" s="20">
        <f>SUMIFS('GL Data'!$G:$G,'GL Data'!$B:$B,$A62)</f>
        <v>0.67000000000000004</v>
      </c>
      <c r="F62" s="20">
        <f>SUMIFS('GL Data'!$H:$H,'GL Data'!$B:$B,$A62)</f>
        <v>0</v>
      </c>
      <c r="G62" s="20">
        <f>SUMIFS('GL Data'!$I:$I,'GL Data'!$B:$B,$A62)</f>
        <v>5.1799999999999997</v>
      </c>
      <c r="H62" s="20">
        <f>SUMIFS('GL Data'!$J:$J,'GL Data'!$B:$B,$A62)</f>
        <v>2.1200000000000001</v>
      </c>
      <c r="I62" s="20">
        <f>SUMIFS('GL Data'!$K:$K,'GL Data'!$B:$B,$A62)</f>
        <v>2.2400000000000002</v>
      </c>
      <c r="J62" s="20">
        <f>SUMIFS('GL Data'!$L:$L,'GL Data'!$B:$B,$A62)</f>
        <v>1.5700000000000001</v>
      </c>
      <c r="K62" s="20">
        <f>SUMIFS('GL Data'!$M:$M,'GL Data'!$B:$B,$A62)</f>
        <v>5.6399999999999997</v>
      </c>
      <c r="L62" s="20">
        <f>SUMIFS('GL Data'!$N:$N,'GL Data'!$B:$B,$A62)</f>
        <v>0</v>
      </c>
      <c r="M62" s="20">
        <f>SUMIFS('GL Data'!$O:$O,'GL Data'!$B:$B,$A62)</f>
        <v>3.6400000000000001</v>
      </c>
      <c r="N62" s="20">
        <f>SUMIFS('GL Data'!$P:$P,'GL Data'!$B:$B,$A62)</f>
        <v>3.5499999999999998</v>
      </c>
      <c r="O62" s="20">
        <f>SUMIFS('GL Data'!$Q:$Q,'GL Data'!$B:$B,$A62)</f>
        <v>5.46</v>
      </c>
      <c r="P62" s="20">
        <f>SUMIFS('GL Data'!$R:$R,'GL Data'!$B:$B,$A62)</f>
        <v>2.9700000000000002</v>
      </c>
      <c r="Q62" s="20">
        <f>SUMIFS('GL Data'!$S:$S,'GL Data'!$B:$B,$A62)</f>
        <v>5.6900000000000004</v>
      </c>
      <c r="R62" s="20">
        <f>SUMIFS('GL Data'!$T:$T,'GL Data'!$B:$B,$A62)</f>
        <v>0.68000000000000005</v>
      </c>
      <c r="S62" s="20">
        <f>SUMIFS('GL Data'!$U:$U,'GL Data'!$B:$B,$A62)</f>
        <v>5.9299999999999997</v>
      </c>
      <c r="T62" s="20">
        <f>SUMIFS('GL Data'!$V:$V,'GL Data'!$B:$B,$A62)</f>
        <v>0.67000000000000004</v>
      </c>
      <c r="U62" s="20">
        <f>SUMIFS('GL Data'!$W:$W,'GL Data'!$B:$B,$A62)</f>
        <v>0.67000000000000004</v>
      </c>
      <c r="V62" s="20">
        <f>SUMIFS('GL Data'!$X:$X,'GL Data'!$B:$B,$A62)</f>
        <v>0.67000000000000004</v>
      </c>
      <c r="W62" s="20">
        <f>SUMIFS('GL Data'!$Y:$Y,'GL Data'!$B:$B,$A62)</f>
        <v>0</v>
      </c>
      <c r="X62" s="20">
        <f>SUMIFS('GL Data'!$Z:$Z,'GL Data'!$B:$B,$A62)</f>
        <v>1.1699999999999999</v>
      </c>
      <c r="Y62" s="20">
        <f>SUMIFS('GL Data'!$AA:$AA,'GL Data'!$B:$B,$A62)</f>
        <v>0</v>
      </c>
      <c r="Z62" s="20">
        <f>SUMIFS('GL Data'!$AB:$AB,'GL Data'!$B:$B,$A62)</f>
        <v>0</v>
      </c>
      <c r="AA62" s="20">
        <f>SUMIFS('GL Data'!$AC:$AC,'GL Data'!$B:$B,$A62)</f>
        <v>0</v>
      </c>
    </row>
    <row r="63" ht="15" customHeight="1">
      <c r="A63" s="27" t="inlineStr">
        <is>
          <t>Unapplied Cash Bill Payments</t>
        </is>
      </c>
      <c r="C63" s="20">
        <f>SUMIFS('GL Data'!$E:$E,'GL Data'!$B:$B,$A63)</f>
        <v>0</v>
      </c>
      <c r="D63" s="20">
        <f>SUMIFS('GL Data'!$F:$F,'GL Data'!$B:$B,$A63)</f>
        <v>0</v>
      </c>
      <c r="E63" s="20">
        <f>SUMIFS('GL Data'!$G:$G,'GL Data'!$B:$B,$A63)</f>
        <v>0</v>
      </c>
      <c r="F63" s="20">
        <f>SUMIFS('GL Data'!$H:$H,'GL Data'!$B:$B,$A63)</f>
        <v>0</v>
      </c>
      <c r="G63" s="20">
        <f>SUMIFS('GL Data'!$I:$I,'GL Data'!$B:$B,$A63)</f>
        <v>0</v>
      </c>
      <c r="H63" s="20">
        <f>SUMIFS('GL Data'!$J:$J,'GL Data'!$B:$B,$A63)</f>
        <v>0</v>
      </c>
      <c r="I63" s="20">
        <f>SUMIFS('GL Data'!$K:$K,'GL Data'!$B:$B,$A63)</f>
        <v>0</v>
      </c>
      <c r="J63" s="20">
        <f>SUMIFS('GL Data'!$L:$L,'GL Data'!$B:$B,$A63)</f>
        <v>0</v>
      </c>
      <c r="K63" s="20">
        <f>SUMIFS('GL Data'!$M:$M,'GL Data'!$B:$B,$A63)</f>
        <v>0</v>
      </c>
      <c r="L63" s="20">
        <f>SUMIFS('GL Data'!$N:$N,'GL Data'!$B:$B,$A63)</f>
        <v>0</v>
      </c>
      <c r="M63" s="20">
        <f>SUMIFS('GL Data'!$O:$O,'GL Data'!$B:$B,$A63)</f>
        <v>0</v>
      </c>
      <c r="N63" s="20">
        <f>SUMIFS('GL Data'!$P:$P,'GL Data'!$B:$B,$A63)</f>
        <v>0</v>
      </c>
      <c r="O63" s="20">
        <f>SUMIFS('GL Data'!$Q:$Q,'GL Data'!$B:$B,$A63)</f>
        <v>0</v>
      </c>
      <c r="P63" s="20">
        <f>SUMIFS('GL Data'!$R:$R,'GL Data'!$B:$B,$A63)</f>
        <v>0</v>
      </c>
      <c r="Q63" s="20">
        <f>SUMIFS('GL Data'!$S:$S,'GL Data'!$B:$B,$A63)</f>
        <v>0</v>
      </c>
      <c r="R63" s="20">
        <f>SUMIFS('GL Data'!$T:$T,'GL Data'!$B:$B,$A63)</f>
        <v>0</v>
      </c>
      <c r="S63" s="20">
        <f>SUMIFS('GL Data'!$U:$U,'GL Data'!$B:$B,$A63)</f>
        <v>0</v>
      </c>
      <c r="T63" s="20">
        <f>SUMIFS('GL Data'!$V:$V,'GL Data'!$B:$B,$A63)</f>
        <v>0</v>
      </c>
      <c r="U63" s="20">
        <f>SUMIFS('GL Data'!$W:$W,'GL Data'!$B:$B,$A63)</f>
        <v>0</v>
      </c>
      <c r="V63" s="20">
        <f>SUMIFS('GL Data'!$X:$X,'GL Data'!$B:$B,$A63)</f>
        <v>0</v>
      </c>
      <c r="W63" s="20">
        <f>SUMIFS('GL Data'!$Y:$Y,'GL Data'!$B:$B,$A63)</f>
        <v>0</v>
      </c>
      <c r="X63" s="20">
        <f>SUMIFS('GL Data'!$Z:$Z,'GL Data'!$B:$B,$A63)</f>
        <v>0</v>
      </c>
      <c r="Y63" s="20">
        <f>SUMIFS('GL Data'!$AA:$AA,'GL Data'!$B:$B,$A63)</f>
        <v>0</v>
      </c>
      <c r="Z63" s="20">
        <f>SUMIFS('GL Data'!$AB:$AB,'GL Data'!$B:$B,$A63)</f>
        <v>0</v>
      </c>
      <c r="AA63" s="20">
        <f>SUMIFS('GL Data'!$AC:$AC,'GL Data'!$B:$B,$A63)</f>
        <v>0</v>
      </c>
    </row>
    <row r="64" ht="15" customHeight="1">
      <c r="A64" s="28" t="inlineStr">
        <is>
          <t>Total General &amp; Administrative</t>
        </is>
      </c>
      <c r="C64" s="22">
        <f>SUM(C48:C63)</f>
        <v>4277.29</v>
      </c>
      <c r="D64" s="22">
        <f>SUM(D48:D63)</f>
        <v>7295.1500000000005</v>
      </c>
      <c r="E64" s="22">
        <f>SUM(E48:E63)</f>
        <v>5131.6499999999996</v>
      </c>
      <c r="F64" s="22">
        <f>SUM(F48:F63)</f>
        <v>7649.7799999999997</v>
      </c>
      <c r="G64" s="22">
        <f>SUM(G48:G63)</f>
        <v>9611.5399999999991</v>
      </c>
      <c r="H64" s="22">
        <f>SUM(H48:H63)</f>
        <v>8128.0700000000006</v>
      </c>
      <c r="I64" s="22">
        <f>SUM(I48:I63)</f>
        <v>23559.240000000002</v>
      </c>
      <c r="J64" s="22">
        <f>SUM(J48:J63)</f>
        <v>8697.25</v>
      </c>
      <c r="K64" s="22">
        <f>SUM(K48:K63)</f>
        <v>7386.5199999999995</v>
      </c>
      <c r="L64" s="22">
        <f>SUM(L48:L63)</f>
        <v>5137.9200000000001</v>
      </c>
      <c r="M64" s="22">
        <f>SUM(M48:M63)</f>
        <v>3100.3599999999997</v>
      </c>
      <c r="N64" s="22">
        <f>SUM(N48:N63)</f>
        <v>5026.1300000000001</v>
      </c>
      <c r="O64" s="22">
        <f>SUM(O48:O63)</f>
        <v>3980.1599999999999</v>
      </c>
      <c r="P64" s="22">
        <f>SUM(P48:P63)</f>
        <v>3046.8599999999992</v>
      </c>
      <c r="Q64" s="22">
        <f>SUM(Q48:Q63)</f>
        <v>3159.9399999999996</v>
      </c>
      <c r="R64" s="22">
        <f>SUM(R48:R63)</f>
        <v>6070.1499999999996</v>
      </c>
      <c r="S64" s="22">
        <f>SUM(S48:S63)</f>
        <v>8088.6199999999999</v>
      </c>
      <c r="T64" s="22">
        <f>SUM(T48:T63)</f>
        <v>3480.0299999999997</v>
      </c>
      <c r="U64" s="22">
        <f>SUM(U48:U63)</f>
        <v>11797.879999999999</v>
      </c>
      <c r="V64" s="22">
        <f>SUM(V48:V63)</f>
        <v>5387.7499999999991</v>
      </c>
      <c r="W64" s="22">
        <f>SUM(W48:W63)</f>
        <v>3575.9999999999995</v>
      </c>
      <c r="X64" s="22">
        <f>SUM(X48:X63)</f>
        <v>2801.1899999999996</v>
      </c>
      <c r="Y64" s="22">
        <f>SUM(Y48:Y63)</f>
        <v>3610.9399999999996</v>
      </c>
      <c r="Z64" s="22">
        <f>SUM(Z48:Z63)</f>
        <v>3220.79</v>
      </c>
      <c r="AA64" s="22">
        <f>SUM(AA48:AA63)</f>
        <v>4383.0399999999991</v>
      </c>
    </row>
    <row r="66" ht="15" customHeight="1">
      <c r="A66" s="26" t="inlineStr">
        <is>
          <t>Fees and Charges</t>
        </is>
      </c>
    </row>
    <row r="67" ht="15" customHeight="1">
      <c r="A67" s="27" t="inlineStr">
        <is>
          <t>Bank Charges &amp; Fees</t>
        </is>
      </c>
      <c r="C67" s="20">
        <f>SUMIFS('GL Data'!$E:$E,'GL Data'!$B:$B,$A67)</f>
        <v>470.32999999999998</v>
      </c>
      <c r="D67" s="20">
        <f>SUMIFS('GL Data'!$F:$F,'GL Data'!$B:$B,$A67)</f>
        <v>462.12</v>
      </c>
      <c r="E67" s="20">
        <f>SUMIFS('GL Data'!$G:$G,'GL Data'!$B:$B,$A67)</f>
        <v>397</v>
      </c>
      <c r="F67" s="20">
        <f>SUMIFS('GL Data'!$H:$H,'GL Data'!$B:$B,$A67)</f>
        <v>319.04000000000002</v>
      </c>
      <c r="G67" s="20">
        <f>SUMIFS('GL Data'!$I:$I,'GL Data'!$B:$B,$A67)</f>
        <v>320.48000000000002</v>
      </c>
      <c r="H67" s="20">
        <f>SUMIFS('GL Data'!$J:$J,'GL Data'!$B:$B,$A67)</f>
        <v>441.55000000000001</v>
      </c>
      <c r="I67" s="20">
        <f>SUMIFS('GL Data'!$K:$K,'GL Data'!$B:$B,$A67)</f>
        <v>386.42000000000002</v>
      </c>
      <c r="J67" s="20">
        <f>SUMIFS('GL Data'!$L:$L,'GL Data'!$B:$B,$A67)</f>
        <v>262.13999999999999</v>
      </c>
      <c r="K67" s="20">
        <f>SUMIFS('GL Data'!$M:$M,'GL Data'!$B:$B,$A67)</f>
        <v>410.32999999999998</v>
      </c>
      <c r="L67" s="20">
        <f>SUMIFS('GL Data'!$N:$N,'GL Data'!$B:$B,$A67)</f>
        <v>471.13999999999999</v>
      </c>
      <c r="M67" s="20">
        <f>SUMIFS('GL Data'!$O:$O,'GL Data'!$B:$B,$A67)</f>
        <v>543.10000000000002</v>
      </c>
      <c r="N67" s="20">
        <f>SUMIFS('GL Data'!$P:$P,'GL Data'!$B:$B,$A67)</f>
        <v>542.49000000000001</v>
      </c>
      <c r="O67" s="20">
        <f>SUMIFS('GL Data'!$Q:$Q,'GL Data'!$B:$B,$A67)</f>
        <v>393.98000000000002</v>
      </c>
      <c r="P67" s="20">
        <f>SUMIFS('GL Data'!$R:$R,'GL Data'!$B:$B,$A67)</f>
        <v>633.65999999999997</v>
      </c>
      <c r="Q67" s="20">
        <f>SUMIFS('GL Data'!$S:$S,'GL Data'!$B:$B,$A67)</f>
        <v>306.38</v>
      </c>
      <c r="R67" s="20">
        <f>SUMIFS('GL Data'!$T:$T,'GL Data'!$B:$B,$A67)</f>
        <v>238.38</v>
      </c>
      <c r="S67" s="20">
        <f>SUMIFS('GL Data'!$U:$U,'GL Data'!$B:$B,$A67)</f>
        <v>50</v>
      </c>
      <c r="T67" s="20">
        <f>SUMIFS('GL Data'!$V:$V,'GL Data'!$B:$B,$A67)</f>
        <v>200</v>
      </c>
      <c r="U67" s="20">
        <f>SUMIFS('GL Data'!$W:$W,'GL Data'!$B:$B,$A67)</f>
        <v>75</v>
      </c>
      <c r="V67" s="20">
        <f>SUMIFS('GL Data'!$X:$X,'GL Data'!$B:$B,$A67)</f>
        <v>50</v>
      </c>
      <c r="W67" s="20">
        <f>SUMIFS('GL Data'!$Y:$Y,'GL Data'!$B:$B,$A67)</f>
        <v>50</v>
      </c>
      <c r="X67" s="20">
        <f>SUMIFS('GL Data'!$Z:$Z,'GL Data'!$B:$B,$A67)</f>
        <v>50</v>
      </c>
      <c r="Y67" s="20">
        <f>SUMIFS('GL Data'!$AA:$AA,'GL Data'!$B:$B,$A67)</f>
        <v>50</v>
      </c>
      <c r="Z67" s="20">
        <f>SUMIFS('GL Data'!$AB:$AB,'GL Data'!$B:$B,$A67)</f>
        <v>50</v>
      </c>
      <c r="AA67" s="20">
        <f>SUMIFS('GL Data'!$AC:$AC,'GL Data'!$B:$B,$A67)</f>
        <v>50</v>
      </c>
    </row>
    <row r="68" ht="15" customHeight="1">
      <c r="A68" s="27" t="inlineStr">
        <is>
          <t>Credit Card Fees</t>
        </is>
      </c>
      <c r="C68" s="20">
        <f>SUMIFS('GL Data'!$E:$E,'GL Data'!$B:$B,$A68)</f>
        <v>2021.8199999999999</v>
      </c>
      <c r="D68" s="20">
        <f>SUMIFS('GL Data'!$F:$F,'GL Data'!$B:$B,$A68)</f>
        <v>2238.3400000000001</v>
      </c>
      <c r="E68" s="20">
        <f>SUMIFS('GL Data'!$G:$G,'GL Data'!$B:$B,$A68)</f>
        <v>2179.75</v>
      </c>
      <c r="F68" s="20">
        <f>SUMIFS('GL Data'!$H:$H,'GL Data'!$B:$B,$A68)</f>
        <v>2056.7399999999998</v>
      </c>
      <c r="G68" s="20">
        <f>SUMIFS('GL Data'!$I:$I,'GL Data'!$B:$B,$A68)</f>
        <v>2287.5300000000002</v>
      </c>
      <c r="H68" s="20">
        <f>SUMIFS('GL Data'!$J:$J,'GL Data'!$B:$B,$A68)</f>
        <v>2147.8299999999999</v>
      </c>
      <c r="I68" s="20">
        <f>SUMIFS('GL Data'!$K:$K,'GL Data'!$B:$B,$A68)</f>
        <v>2006.6300000000001</v>
      </c>
      <c r="J68" s="20">
        <f>SUMIFS('GL Data'!$L:$L,'GL Data'!$B:$B,$A68)</f>
        <v>2006.5799999999999</v>
      </c>
      <c r="K68" s="20">
        <f>SUMIFS('GL Data'!$M:$M,'GL Data'!$B:$B,$A68)</f>
        <v>1829.52</v>
      </c>
      <c r="L68" s="20">
        <f>SUMIFS('GL Data'!$N:$N,'GL Data'!$B:$B,$A68)</f>
        <v>2056.4299999999998</v>
      </c>
      <c r="M68" s="20">
        <f>SUMIFS('GL Data'!$O:$O,'GL Data'!$B:$B,$A68)</f>
        <v>2372.5999999999999</v>
      </c>
      <c r="N68" s="20">
        <f>SUMIFS('GL Data'!$P:$P,'GL Data'!$B:$B,$A68)</f>
        <v>2474.8000000000002</v>
      </c>
      <c r="O68" s="20">
        <f>SUMIFS('GL Data'!$Q:$Q,'GL Data'!$B:$B,$A68)</f>
        <v>1536.1500000000001</v>
      </c>
      <c r="P68" s="20">
        <f>SUMIFS('GL Data'!$R:$R,'GL Data'!$B:$B,$A68)</f>
        <v>2923.1199999999999</v>
      </c>
      <c r="Q68" s="20">
        <f>SUMIFS('GL Data'!$S:$S,'GL Data'!$B:$B,$A68)</f>
        <v>1991.1800000000001</v>
      </c>
      <c r="R68" s="20">
        <f>SUMIFS('GL Data'!$T:$T,'GL Data'!$B:$B,$A68)</f>
        <v>2192.3899999999999</v>
      </c>
      <c r="S68" s="20">
        <f>SUMIFS('GL Data'!$U:$U,'GL Data'!$B:$B,$A68)</f>
        <v>2815.5900000000001</v>
      </c>
      <c r="T68" s="20">
        <f>SUMIFS('GL Data'!$V:$V,'GL Data'!$B:$B,$A68)</f>
        <v>2522.7600000000002</v>
      </c>
      <c r="U68" s="20">
        <f>SUMIFS('GL Data'!$W:$W,'GL Data'!$B:$B,$A68)</f>
        <v>2423.4499999999998</v>
      </c>
      <c r="V68" s="20">
        <f>SUMIFS('GL Data'!$X:$X,'GL Data'!$B:$B,$A68)</f>
        <v>2564.9299999999998</v>
      </c>
      <c r="W68" s="20">
        <f>SUMIFS('GL Data'!$Y:$Y,'GL Data'!$B:$B,$A68)</f>
        <v>1955.47</v>
      </c>
      <c r="X68" s="20">
        <f>SUMIFS('GL Data'!$Z:$Z,'GL Data'!$B:$B,$A68)</f>
        <v>2117.6799999999998</v>
      </c>
      <c r="Y68" s="20">
        <f>SUMIFS('GL Data'!$AA:$AA,'GL Data'!$B:$B,$A68)</f>
        <v>2729.73</v>
      </c>
      <c r="Z68" s="20">
        <f>SUMIFS('GL Data'!$AB:$AB,'GL Data'!$B:$B,$A68)</f>
        <v>2337.5900000000001</v>
      </c>
      <c r="AA68" s="20">
        <f>SUMIFS('GL Data'!$AC:$AC,'GL Data'!$B:$B,$A68)</f>
        <v>1878.05</v>
      </c>
    </row>
    <row r="69" ht="15" customHeight="1">
      <c r="A69" s="28" t="inlineStr">
        <is>
          <t>Total Fees and Charges</t>
        </is>
      </c>
      <c r="C69" s="22">
        <f>SUM(C67:C68)</f>
        <v>2492.1500000000001</v>
      </c>
      <c r="D69" s="22">
        <f>SUM(D67:D68)</f>
        <v>2700.46</v>
      </c>
      <c r="E69" s="22">
        <f>SUM(E67:E68)</f>
        <v>2576.75</v>
      </c>
      <c r="F69" s="22">
        <f>SUM(F67:F68)</f>
        <v>2375.7799999999997</v>
      </c>
      <c r="G69" s="22">
        <f>SUM(G67:G68)</f>
        <v>2608.0100000000002</v>
      </c>
      <c r="H69" s="22">
        <f>SUM(H67:H68)</f>
        <v>2589.3800000000001</v>
      </c>
      <c r="I69" s="22">
        <f>SUM(I67:I68)</f>
        <v>2393.0500000000002</v>
      </c>
      <c r="J69" s="22">
        <f>SUM(J67:J68)</f>
        <v>2268.7199999999998</v>
      </c>
      <c r="K69" s="22">
        <f>SUM(K67:K68)</f>
        <v>2239.8499999999999</v>
      </c>
      <c r="L69" s="22">
        <f>SUM(L67:L68)</f>
        <v>2527.5699999999997</v>
      </c>
      <c r="M69" s="22">
        <f>SUM(M67:M68)</f>
        <v>2915.6999999999998</v>
      </c>
      <c r="N69" s="22">
        <f>SUM(N67:N68)</f>
        <v>3017.29</v>
      </c>
      <c r="O69" s="22">
        <f>SUM(O67:O68)</f>
        <v>1930.1300000000001</v>
      </c>
      <c r="P69" s="22">
        <f>SUM(P67:P68)</f>
        <v>3556.7799999999997</v>
      </c>
      <c r="Q69" s="22">
        <f>SUM(Q67:Q68)</f>
        <v>2297.5599999999999</v>
      </c>
      <c r="R69" s="22">
        <f>SUM(R67:R68)</f>
        <v>2430.77</v>
      </c>
      <c r="S69" s="22">
        <f>SUM(S67:S68)</f>
        <v>2865.5900000000001</v>
      </c>
      <c r="T69" s="22">
        <f>SUM(T67:T68)</f>
        <v>2722.7600000000002</v>
      </c>
      <c r="U69" s="22">
        <f>SUM(U67:U68)</f>
        <v>2498.4499999999998</v>
      </c>
      <c r="V69" s="22">
        <f>SUM(V67:V68)</f>
        <v>2614.9299999999998</v>
      </c>
      <c r="W69" s="22">
        <f>SUM(W67:W68)</f>
        <v>2005.47</v>
      </c>
      <c r="X69" s="22">
        <f>SUM(X67:X68)</f>
        <v>2167.6799999999998</v>
      </c>
      <c r="Y69" s="22">
        <f>SUM(Y67:Y68)</f>
        <v>2779.73</v>
      </c>
      <c r="Z69" s="22">
        <f>SUM(Z67:Z68)</f>
        <v>2387.5900000000001</v>
      </c>
      <c r="AA69" s="22">
        <f>SUM(AA67:AA68)</f>
        <v>1928.05</v>
      </c>
    </row>
    <row r="71" ht="15" customHeight="1">
      <c r="A71" s="21" t="inlineStr">
        <is>
          <t>Total Operating Expenses</t>
        </is>
      </c>
      <c r="C71" s="22">
        <f>C33+C45+C64+C69</f>
        <v>35014.279999999999</v>
      </c>
      <c r="D71" s="22">
        <f>D33+D45+D64+D69</f>
        <v>38324.279999999999</v>
      </c>
      <c r="E71" s="22">
        <f>E33+E45+E64+E69</f>
        <v>37834.349999999999</v>
      </c>
      <c r="F71" s="22">
        <f>F33+F45+F64+F69</f>
        <v>38947.409999999996</v>
      </c>
      <c r="G71" s="22">
        <f>G33+G45+G64+G69</f>
        <v>44407.599999999999</v>
      </c>
      <c r="H71" s="22">
        <f>H33+H45+H64+H69</f>
        <v>39850.289999999994</v>
      </c>
      <c r="I71" s="22">
        <f>I33+I45+I64+I69</f>
        <v>68867.119999999995</v>
      </c>
      <c r="J71" s="22">
        <f>J33+J45+J64+J69</f>
        <v>38460.279999999999</v>
      </c>
      <c r="K71" s="22">
        <f>K33+K45+K64+K69</f>
        <v>35892.260000000002</v>
      </c>
      <c r="L71" s="22">
        <f>L33+L45+L64+L69</f>
        <v>33221.659999999996</v>
      </c>
      <c r="M71" s="22">
        <f>M33+M45+M64+M69</f>
        <v>32302.580000000002</v>
      </c>
      <c r="N71" s="22">
        <f>N33+N45+N64+N69</f>
        <v>32364.460000000003</v>
      </c>
      <c r="O71" s="22">
        <f>O33+O45+O64+O69</f>
        <v>29379.66</v>
      </c>
      <c r="P71" s="22">
        <f>P33+P45+P64+P69</f>
        <v>33252.509999999995</v>
      </c>
      <c r="Q71" s="22">
        <f>Q33+Q45+Q64+Q69</f>
        <v>31210.650000000005</v>
      </c>
      <c r="R71" s="22">
        <f>R33+R45+R64+R69</f>
        <v>32705.939999999999</v>
      </c>
      <c r="S71" s="22">
        <f>S33+S45+S64+S69</f>
        <v>38369.320000000007</v>
      </c>
      <c r="T71" s="22">
        <f>T33+T45+T64+T69</f>
        <v>36343.920000000006</v>
      </c>
      <c r="U71" s="22">
        <f>U33+U45+U64+U69</f>
        <v>59593.469999999994</v>
      </c>
      <c r="V71" s="22">
        <f>V33+V45+V64+V69</f>
        <v>39236.360000000001</v>
      </c>
      <c r="W71" s="22">
        <f>W33+W45+W64+W69</f>
        <v>34539.440000000002</v>
      </c>
      <c r="X71" s="22">
        <f>X33+X45+X64+X69</f>
        <v>31875.229999999996</v>
      </c>
      <c r="Y71" s="22">
        <f>Y33+Y45+Y64+Y69</f>
        <v>37231.48000000001</v>
      </c>
      <c r="Z71" s="22">
        <f>Z33+Z45+Z64+Z69</f>
        <v>33630.779999999999</v>
      </c>
      <c r="AA71" s="22">
        <f>AA33+AA45+AA64+AA69</f>
        <v>33694.830000000002</v>
      </c>
    </row>
    <row r="72" ht="15" customHeight="1">
      <c r="A72" s="21" t="inlineStr">
        <is>
          <t>Operating Income (EBIT)</t>
        </is>
      </c>
      <c r="C72" s="23">
        <f>C23-C71</f>
        <v>1862.7199999999939</v>
      </c>
      <c r="D72" s="23">
        <f>D23-D71</f>
        <v>14730.610000000001</v>
      </c>
      <c r="E72" s="23">
        <f>E23-E71</f>
        <v>5394.1999999999971</v>
      </c>
      <c r="F72" s="23">
        <f>F23-F71</f>
        <v>5117.3700000000026</v>
      </c>
      <c r="G72" s="23">
        <f>G23-G71</f>
        <v>3179.2000000000044</v>
      </c>
      <c r="H72" s="23">
        <f>H23-H71</f>
        <v>2867.6900000000096</v>
      </c>
      <c r="I72" s="23">
        <f>I23-I71</f>
        <v>-24398.479999999989</v>
      </c>
      <c r="J72" s="23">
        <f>J23-J71</f>
        <v>1079.4600000000064</v>
      </c>
      <c r="K72" s="23">
        <f>K23-K71</f>
        <v>423.66000000001077</v>
      </c>
      <c r="L72" s="23">
        <f>L23-L71</f>
        <v>12721.920000000013</v>
      </c>
      <c r="M72" s="23">
        <f>M23-M71</f>
        <v>17398.400000000009</v>
      </c>
      <c r="N72" s="23">
        <f>N23-N71</f>
        <v>23510.490000000009</v>
      </c>
      <c r="O72" s="23">
        <f>O23-O71</f>
        <v>89.740000000005239</v>
      </c>
      <c r="P72" s="23">
        <f>P23-P71</f>
        <v>35344.179999999993</v>
      </c>
      <c r="Q72" s="23">
        <f>Q23-Q71</f>
        <v>787.06999999999607</v>
      </c>
      <c r="R72" s="23">
        <f>R23-R71</f>
        <v>15909.619999999999</v>
      </c>
      <c r="S72" s="23">
        <f>S23-S71</f>
        <v>27206.669999999984</v>
      </c>
      <c r="T72" s="23">
        <f>T23-T71</f>
        <v>15481.639999999992</v>
      </c>
      <c r="U72" s="23">
        <f>U23-U71</f>
        <v>-8242.3599999999933</v>
      </c>
      <c r="V72" s="23">
        <f>V23-V71</f>
        <v>23520.630000000005</v>
      </c>
      <c r="W72" s="23">
        <f>W23-W71</f>
        <v>80.410000000003492</v>
      </c>
      <c r="X72" s="23">
        <f>X23-X71</f>
        <v>8725.2400000000198</v>
      </c>
      <c r="Y72" s="23">
        <f>Y23-Y71</f>
        <v>21939.179999999978</v>
      </c>
      <c r="Z72" s="23">
        <f>Z23-Z71</f>
        <v>14750.239999999998</v>
      </c>
      <c r="AA72" s="23">
        <f>AA23-AA71</f>
        <v>3709.6100000000006</v>
      </c>
    </row>
    <row r="73" ht="15" customHeight="1">
      <c r="A73" s="24" t="inlineStr">
        <is>
          <t>Operating Margin %</t>
        </is>
      </c>
      <c r="C73" s="25">
        <f>IFERROR(C72/C15,0)</f>
        <v>0.028429992029858481</v>
      </c>
      <c r="D73" s="25">
        <f>IFERROR(D72/D15,0)</f>
        <v>0.1875138035886339</v>
      </c>
      <c r="E73" s="25">
        <f>IFERROR(E72/E15,0)</f>
        <v>0.077675970445633846</v>
      </c>
      <c r="F73" s="25">
        <f>IFERROR(F72/F15,0)</f>
        <v>0.073715736257049844</v>
      </c>
      <c r="G73" s="25">
        <f>IFERROR(G72/G15,0)</f>
        <v>0.04261510246417493</v>
      </c>
      <c r="H73" s="25">
        <f>IFERROR(H72/H15,0)</f>
        <v>0.041229348232711772</v>
      </c>
      <c r="I73" s="25">
        <f>IFERROR(I72/I15,0)</f>
        <v>-0.3572128923821799</v>
      </c>
      <c r="J73" s="25">
        <f>IFERROR(J72/J15,0)</f>
        <v>0.016458841004601425</v>
      </c>
      <c r="K73" s="25">
        <f>IFERROR(K72/K15,0)</f>
        <v>0.0070035174631683144</v>
      </c>
      <c r="L73" s="25">
        <f>IFERROR(L72/L15,0)</f>
        <v>0.18589699003380142</v>
      </c>
      <c r="M73" s="25">
        <f>IFERROR(M72/M15,0)</f>
        <v>0.23166733665518041</v>
      </c>
      <c r="N73" s="25">
        <f>IFERROR(N72/N15,0)</f>
        <v>0.28995330874721947</v>
      </c>
      <c r="O73" s="25">
        <f>IFERROR(O72/O15,0)</f>
        <v>0.0016320470460204027</v>
      </c>
      <c r="P73" s="25">
        <f>IFERROR(P72/P15,0)</f>
        <v>0.37242344068235411</v>
      </c>
      <c r="Q73" s="25">
        <f>IFERROR(Q72/Q15,0)</f>
        <v>0.012577543969548048</v>
      </c>
      <c r="R73" s="25">
        <f>IFERROR(R72/R15,0)</f>
        <v>0.20467461747703111</v>
      </c>
      <c r="S73" s="25">
        <f>IFERROR(S72/S15,0)</f>
        <v>0.28689171459501123</v>
      </c>
      <c r="T73" s="25">
        <f>IFERROR(T72/T15,0)</f>
        <v>0.19175691168324907</v>
      </c>
      <c r="U73" s="25">
        <f>IFERROR(U72/U15,0)</f>
        <v>-0.10381020464402531</v>
      </c>
      <c r="V73" s="25">
        <f>IFERROR(V72/V15,0)</f>
        <v>0.25594654429731661</v>
      </c>
      <c r="W73" s="25">
        <f>IFERROR(W72/W15,0)</f>
        <v>0.0012629487190361363</v>
      </c>
      <c r="X73" s="25">
        <f>IFERROR(X72/X15,0)</f>
        <v>0.13049417720337683</v>
      </c>
      <c r="Y73" s="25">
        <f>IFERROR(Y72/Y15,0)</f>
        <v>0.24589447908154397</v>
      </c>
      <c r="Z73" s="25">
        <f>IFERROR(Z72/Z15,0)</f>
        <v>0.19226722911193928</v>
      </c>
      <c r="AA73" s="25">
        <f>IFERROR(AA72/AA15,0)</f>
        <v>0.057847665936555499</v>
      </c>
    </row>
    <row r="75" ht="15" customHeight="1">
      <c r="A75" s="2" t="inlineStr">
        <is>
          <t>Other Income / (Expense)</t>
        </is>
      </c>
    </row>
    <row r="76" ht="15" customHeight="1">
      <c r="A76" s="27" t="inlineStr">
        <is>
          <t>Interest Earned</t>
        </is>
      </c>
      <c r="C76" s="20">
        <f>-SUMIFS('GL Data'!$E:$E,'GL Data'!$B:$B,$A76)</f>
        <v>0.12</v>
      </c>
      <c r="D76" s="20">
        <f>-SUMIFS('GL Data'!$F:$F,'GL Data'!$B:$B,$A76)</f>
        <v>0.12</v>
      </c>
      <c r="E76" s="20">
        <f>-SUMIFS('GL Data'!$G:$G,'GL Data'!$B:$B,$A76)</f>
        <v>0.12</v>
      </c>
      <c r="F76" s="20">
        <f>-SUMIFS('GL Data'!$H:$H,'GL Data'!$B:$B,$A76)</f>
        <v>0.12</v>
      </c>
      <c r="G76" s="20">
        <f>-SUMIFS('GL Data'!$I:$I,'GL Data'!$B:$B,$A76)</f>
        <v>12.539999999999999</v>
      </c>
      <c r="H76" s="20">
        <f>-SUMIFS('GL Data'!$J:$J,'GL Data'!$B:$B,$A76)</f>
        <v>43.969999999999999</v>
      </c>
      <c r="I76" s="20">
        <f>-SUMIFS('GL Data'!$K:$K,'GL Data'!$B:$B,$A76)</f>
        <v>33.609999999999999</v>
      </c>
      <c r="J76" s="20">
        <f>-SUMIFS('GL Data'!$L:$L,'GL Data'!$B:$B,$A76)</f>
        <v>25.370000000000001</v>
      </c>
      <c r="K76" s="20">
        <f>-SUMIFS('GL Data'!$M:$M,'GL Data'!$B:$B,$A76)</f>
        <v>24.25</v>
      </c>
      <c r="L76" s="20">
        <f>-SUMIFS('GL Data'!$N:$N,'GL Data'!$B:$B,$A76)</f>
        <v>31.690000000000001</v>
      </c>
      <c r="M76" s="20">
        <f>-SUMIFS('GL Data'!$O:$O,'GL Data'!$B:$B,$A76)</f>
        <v>33.560000000000002</v>
      </c>
      <c r="N76" s="20">
        <f>-SUMIFS('GL Data'!$P:$P,'GL Data'!$B:$B,$A76)</f>
        <v>45.920000000000002</v>
      </c>
      <c r="O76" s="20">
        <f>-SUMIFS('GL Data'!$Q:$Q,'GL Data'!$B:$B,$A76)</f>
        <v>51.109999999999999</v>
      </c>
      <c r="P76" s="20">
        <f>-SUMIFS('GL Data'!$R:$R,'GL Data'!$B:$B,$A76)</f>
        <v>55.770000000000003</v>
      </c>
      <c r="Q76" s="20">
        <f>-SUMIFS('GL Data'!$S:$S,'GL Data'!$B:$B,$A76)</f>
        <v>56.270000000000003</v>
      </c>
      <c r="R76" s="20">
        <f>-SUMIFS('GL Data'!$T:$T,'GL Data'!$B:$B,$A76)</f>
        <v>62.909999999999997</v>
      </c>
      <c r="S76" s="20">
        <f>-SUMIFS('GL Data'!$U:$U,'GL Data'!$B:$B,$A76)</f>
        <v>83.060000000000002</v>
      </c>
      <c r="T76" s="20">
        <f>-SUMIFS('GL Data'!$V:$V,'GL Data'!$B:$B,$A76)</f>
        <v>86.230000000000004</v>
      </c>
      <c r="U76" s="20">
        <f>-SUMIFS('GL Data'!$W:$W,'GL Data'!$B:$B,$A76)</f>
        <v>80.730000000000004</v>
      </c>
      <c r="V76" s="20">
        <f>-SUMIFS('GL Data'!$X:$X,'GL Data'!$B:$B,$A76)</f>
        <v>83.650000000000006</v>
      </c>
      <c r="W76" s="20">
        <f>-SUMIFS('GL Data'!$Y:$Y,'GL Data'!$B:$B,$A76)</f>
        <v>82.450000000000003</v>
      </c>
      <c r="X76" s="20">
        <f>-SUMIFS('GL Data'!$Z:$Z,'GL Data'!$B:$B,$A76)</f>
        <v>85.909999999999997</v>
      </c>
      <c r="Y76" s="20">
        <f>-SUMIFS('GL Data'!$AA:$AA,'GL Data'!$B:$B,$A76)</f>
        <v>85.590000000000003</v>
      </c>
      <c r="Z76" s="20">
        <f>-SUMIFS('GL Data'!$AB:$AB,'GL Data'!$B:$B,$A76)</f>
        <v>101.83</v>
      </c>
      <c r="AA76" s="20">
        <f>-SUMIFS('GL Data'!$AC:$AC,'GL Data'!$B:$B,$A76)</f>
        <v>104.7</v>
      </c>
    </row>
    <row r="77" ht="15" customHeight="1">
      <c r="A77" s="27" t="inlineStr">
        <is>
          <t>Credit Card Rewards</t>
        </is>
      </c>
      <c r="C77" s="20">
        <f>-SUMIFS('GL Data'!$E:$E,'GL Data'!$B:$B,$A77)</f>
        <v>23.469999999999999</v>
      </c>
      <c r="D77" s="20">
        <f>-SUMIFS('GL Data'!$F:$F,'GL Data'!$B:$B,$A77)</f>
        <v>24.66</v>
      </c>
      <c r="E77" s="20">
        <f>-SUMIFS('GL Data'!$G:$G,'GL Data'!$B:$B,$A77)</f>
        <v>39.710000000000001</v>
      </c>
      <c r="F77" s="20">
        <f>-SUMIFS('GL Data'!$H:$H,'GL Data'!$B:$B,$A77)</f>
        <v>41.079999999999998</v>
      </c>
      <c r="G77" s="20">
        <f>-SUMIFS('GL Data'!$I:$I,'GL Data'!$B:$B,$A77)</f>
        <v>34.780000000000001</v>
      </c>
      <c r="H77" s="20">
        <f>-SUMIFS('GL Data'!$J:$J,'GL Data'!$B:$B,$A77)</f>
        <v>25.850000000000001</v>
      </c>
      <c r="I77" s="20">
        <f>-SUMIFS('GL Data'!$K:$K,'GL Data'!$B:$B,$A77)</f>
        <v>36.469999999999999</v>
      </c>
      <c r="J77" s="20">
        <f>-SUMIFS('GL Data'!$L:$L,'GL Data'!$B:$B,$A77)</f>
        <v>48.140000000000001</v>
      </c>
      <c r="K77" s="20">
        <f>-SUMIFS('GL Data'!$M:$M,'GL Data'!$B:$B,$A77)</f>
        <v>36.840000000000003</v>
      </c>
      <c r="L77" s="20">
        <f>-SUMIFS('GL Data'!$N:$N,'GL Data'!$B:$B,$A77)</f>
        <v>23.100000000000001</v>
      </c>
      <c r="M77" s="20">
        <f>-SUMIFS('GL Data'!$O:$O,'GL Data'!$B:$B,$A77)</f>
        <v>25.27</v>
      </c>
      <c r="N77" s="20">
        <f>-SUMIFS('GL Data'!$P:$P,'GL Data'!$B:$B,$A77)</f>
        <v>21.800000000000001</v>
      </c>
      <c r="O77" s="20">
        <f>-SUMIFS('GL Data'!$Q:$Q,'GL Data'!$B:$B,$A77)</f>
        <v>20.879999999999999</v>
      </c>
      <c r="P77" s="20">
        <f>-SUMIFS('GL Data'!$R:$R,'GL Data'!$B:$B,$A77)</f>
        <v>34.710000000000001</v>
      </c>
      <c r="Q77" s="20">
        <f>-SUMIFS('GL Data'!$S:$S,'GL Data'!$B:$B,$A77)</f>
        <v>24.800000000000001</v>
      </c>
      <c r="R77" s="20">
        <f>-SUMIFS('GL Data'!$T:$T,'GL Data'!$B:$B,$A77)</f>
        <v>20.02</v>
      </c>
      <c r="S77" s="20">
        <f>-SUMIFS('GL Data'!$U:$U,'GL Data'!$B:$B,$A77)</f>
        <v>57.240000000000002</v>
      </c>
      <c r="T77" s="20">
        <f>-SUMIFS('GL Data'!$V:$V,'GL Data'!$B:$B,$A77)</f>
        <v>75.189999999999998</v>
      </c>
      <c r="U77" s="20">
        <f>-SUMIFS('GL Data'!$W:$W,'GL Data'!$B:$B,$A77)</f>
        <v>39.140000000000001</v>
      </c>
      <c r="V77" s="20">
        <f>-SUMIFS('GL Data'!$X:$X,'GL Data'!$B:$B,$A77)</f>
        <v>30.219999999999999</v>
      </c>
      <c r="W77" s="20">
        <f>-SUMIFS('GL Data'!$Y:$Y,'GL Data'!$B:$B,$A77)</f>
        <v>0</v>
      </c>
      <c r="X77" s="20">
        <f>-SUMIFS('GL Data'!$Z:$Z,'GL Data'!$B:$B,$A77)</f>
        <v>101.61</v>
      </c>
      <c r="Y77" s="20">
        <f>-SUMIFS('GL Data'!$AA:$AA,'GL Data'!$B:$B,$A77)</f>
        <v>16.100000000000001</v>
      </c>
      <c r="Z77" s="20">
        <f>-SUMIFS('GL Data'!$AB:$AB,'GL Data'!$B:$B,$A77)</f>
        <v>21.59</v>
      </c>
      <c r="AA77" s="20">
        <f>-SUMIFS('GL Data'!$AC:$AC,'GL Data'!$B:$B,$A77)</f>
        <v>21.890000000000001</v>
      </c>
    </row>
    <row r="78" ht="15" customHeight="1">
      <c r="A78" s="27" t="inlineStr">
        <is>
          <t>Interest Expense on Loan</t>
        </is>
      </c>
      <c r="C78" s="20">
        <f>-SUMIFS('GL Data'!$E:$E,'GL Data'!$B:$B,$A78)</f>
        <v>-386.68000000000001</v>
      </c>
      <c r="D78" s="20">
        <f>-SUMIFS('GL Data'!$F:$F,'GL Data'!$B:$B,$A78)</f>
        <v>-239.13999999999999</v>
      </c>
      <c r="E78" s="20">
        <f>-SUMIFS('GL Data'!$G:$G,'GL Data'!$B:$B,$A78)</f>
        <v>-164.06</v>
      </c>
      <c r="F78" s="20">
        <f>-SUMIFS('GL Data'!$H:$H,'GL Data'!$B:$B,$A78)</f>
        <v>0</v>
      </c>
      <c r="G78" s="20">
        <f>-SUMIFS('GL Data'!$I:$I,'GL Data'!$B:$B,$A78)</f>
        <v>0</v>
      </c>
      <c r="H78" s="20">
        <f>-SUMIFS('GL Data'!$J:$J,'GL Data'!$B:$B,$A78)</f>
        <v>0</v>
      </c>
      <c r="I78" s="20">
        <f>-SUMIFS('GL Data'!$K:$K,'GL Data'!$B:$B,$A78)</f>
        <v>-1050</v>
      </c>
      <c r="J78" s="20">
        <f>-SUMIFS('GL Data'!$L:$L,'GL Data'!$B:$B,$A78)</f>
        <v>-350</v>
      </c>
      <c r="K78" s="20">
        <f>-SUMIFS('GL Data'!$M:$M,'GL Data'!$B:$B,$A78)</f>
        <v>0</v>
      </c>
      <c r="L78" s="20">
        <f>-SUMIFS('GL Data'!$N:$N,'GL Data'!$B:$B,$A78)</f>
        <v>-700</v>
      </c>
      <c r="M78" s="20">
        <f>-SUMIFS('GL Data'!$O:$O,'GL Data'!$B:$B,$A78)</f>
        <v>-100</v>
      </c>
      <c r="N78" s="20">
        <f>-SUMIFS('GL Data'!$P:$P,'GL Data'!$B:$B,$A78)</f>
        <v>-100</v>
      </c>
      <c r="O78" s="20">
        <f>-SUMIFS('GL Data'!$Q:$Q,'GL Data'!$B:$B,$A78)</f>
        <v>-100</v>
      </c>
      <c r="P78" s="20">
        <f>-SUMIFS('GL Data'!$R:$R,'GL Data'!$B:$B,$A78)</f>
        <v>-100</v>
      </c>
      <c r="Q78" s="20">
        <f>-SUMIFS('GL Data'!$S:$S,'GL Data'!$B:$B,$A78)</f>
        <v>-100</v>
      </c>
      <c r="R78" s="20">
        <f>-SUMIFS('GL Data'!$T:$T,'GL Data'!$B:$B,$A78)</f>
        <v>-100</v>
      </c>
      <c r="S78" s="20">
        <f>-SUMIFS('GL Data'!$U:$U,'GL Data'!$B:$B,$A78)</f>
        <v>0</v>
      </c>
      <c r="T78" s="20">
        <f>-SUMIFS('GL Data'!$V:$V,'GL Data'!$B:$B,$A78)</f>
        <v>0</v>
      </c>
      <c r="U78" s="20">
        <f>-SUMIFS('GL Data'!$W:$W,'GL Data'!$B:$B,$A78)</f>
        <v>0</v>
      </c>
      <c r="V78" s="20">
        <f>-SUMIFS('GL Data'!$X:$X,'GL Data'!$B:$B,$A78)</f>
        <v>0</v>
      </c>
      <c r="W78" s="20">
        <f>-SUMIFS('GL Data'!$Y:$Y,'GL Data'!$B:$B,$A78)</f>
        <v>0</v>
      </c>
      <c r="X78" s="20">
        <f>-SUMIFS('GL Data'!$Z:$Z,'GL Data'!$B:$B,$A78)</f>
        <v>0</v>
      </c>
      <c r="Y78" s="20">
        <f>-SUMIFS('GL Data'!$AA:$AA,'GL Data'!$B:$B,$A78)</f>
        <v>0</v>
      </c>
      <c r="Z78" s="20">
        <f>-SUMIFS('GL Data'!$AB:$AB,'GL Data'!$B:$B,$A78)</f>
        <v>0</v>
      </c>
      <c r="AA78" s="20">
        <f>-SUMIFS('GL Data'!$AC:$AC,'GL Data'!$B:$B,$A78)</f>
        <v>0</v>
      </c>
    </row>
    <row r="79" ht="15" customHeight="1">
      <c r="A79" s="27" t="inlineStr">
        <is>
          <t>Interest Expense on Line of Credit (modeled)</t>
        </is>
      </c>
      <c r="C79" s="29">
        <f>C258</f>
        <v>0</v>
      </c>
      <c r="D79" s="29">
        <f>D258</f>
        <v>0</v>
      </c>
      <c r="E79" s="29">
        <f>E258</f>
        <v>0</v>
      </c>
      <c r="F79" s="29">
        <f>F258</f>
        <v>0</v>
      </c>
      <c r="G79" s="29">
        <f>G258</f>
        <v>0</v>
      </c>
      <c r="H79" s="29">
        <f>H258</f>
        <v>0</v>
      </c>
      <c r="I79" s="29">
        <f>I258</f>
        <v>0</v>
      </c>
      <c r="J79" s="29">
        <f>J258</f>
        <v>0</v>
      </c>
      <c r="K79" s="29">
        <f>K258</f>
        <v>0</v>
      </c>
      <c r="L79" s="29">
        <f>L258</f>
        <v>0</v>
      </c>
      <c r="M79" s="29">
        <f>M258</f>
        <v>0</v>
      </c>
      <c r="N79" s="29">
        <f>N258</f>
        <v>0</v>
      </c>
      <c r="O79" s="29">
        <f>O258</f>
        <v>0</v>
      </c>
      <c r="P79" s="29">
        <f>P258</f>
        <v>0</v>
      </c>
      <c r="Q79" s="29">
        <f>Q258</f>
        <v>0</v>
      </c>
      <c r="R79" s="29">
        <f>R258</f>
        <v>0</v>
      </c>
      <c r="S79" s="29">
        <f>S258</f>
        <v>0</v>
      </c>
      <c r="T79" s="29">
        <f>T258</f>
        <v>0</v>
      </c>
      <c r="U79" s="29">
        <f>U258</f>
        <v>0</v>
      </c>
      <c r="V79" s="29">
        <f>V258</f>
        <v>0</v>
      </c>
      <c r="W79" s="29">
        <f>W258</f>
        <v>0</v>
      </c>
      <c r="X79" s="29">
        <f>X258</f>
        <v>0</v>
      </c>
      <c r="Y79" s="29">
        <f>Y258</f>
        <v>0</v>
      </c>
      <c r="Z79" s="29">
        <f>Z258</f>
        <v>0</v>
      </c>
      <c r="AA79" s="29">
        <f>AA258</f>
        <v>0</v>
      </c>
    </row>
    <row r="80" ht="15" customHeight="1">
      <c r="A80" s="28" t="inlineStr">
        <is>
          <t>Total Other Income / (Expense)</t>
        </is>
      </c>
      <c r="C80" s="22">
        <f>SUM(C76:C78)-C79</f>
        <v>-363.08999999999997</v>
      </c>
      <c r="D80" s="22">
        <f>SUM(D76:D78)-D79</f>
        <v>-214.36000000000001</v>
      </c>
      <c r="E80" s="22">
        <f>SUM(E76:E78)-E79</f>
        <v>-124.23</v>
      </c>
      <c r="F80" s="22">
        <f>SUM(F76:F78)-F79</f>
        <v>41.200000000000003</v>
      </c>
      <c r="G80" s="22">
        <f>SUM(G76:G78)-G79</f>
        <v>47.32</v>
      </c>
      <c r="H80" s="22">
        <f>SUM(H76:H78)-H79</f>
        <v>69.819999999999993</v>
      </c>
      <c r="I80" s="22">
        <f>SUM(I76:I78)-I79</f>
        <v>-979.91999999999996</v>
      </c>
      <c r="J80" s="22">
        <f>SUM(J76:J78)-J79</f>
        <v>-276.49000000000001</v>
      </c>
      <c r="K80" s="22">
        <f>SUM(K76:K78)-K79</f>
        <v>61.090000000000003</v>
      </c>
      <c r="L80" s="22">
        <f>SUM(L76:L78)-L79</f>
        <v>-645.21000000000004</v>
      </c>
      <c r="M80" s="22">
        <f>SUM(M76:M78)-M79</f>
        <v>-41.170000000000002</v>
      </c>
      <c r="N80" s="22">
        <f>SUM(N76:N78)-N79</f>
        <v>-32.280000000000001</v>
      </c>
      <c r="O80" s="22">
        <f>SUM(O76:O78)-O79</f>
        <v>-28.010000000000002</v>
      </c>
      <c r="P80" s="22">
        <f>SUM(P76:P78)-P79</f>
        <v>-9.5199999999999996</v>
      </c>
      <c r="Q80" s="22">
        <f>SUM(Q76:Q78)-Q79</f>
        <v>-18.93</v>
      </c>
      <c r="R80" s="22">
        <f>SUM(R76:R78)-R79</f>
        <v>-17.07</v>
      </c>
      <c r="S80" s="22">
        <f>SUM(S76:S78)-S79</f>
        <v>140.30000000000001</v>
      </c>
      <c r="T80" s="22">
        <f>SUM(T76:T78)-T79</f>
        <v>161.41999999999999</v>
      </c>
      <c r="U80" s="22">
        <f>SUM(U76:U78)-U79</f>
        <v>119.87</v>
      </c>
      <c r="V80" s="22">
        <f>SUM(V76:V78)-V79</f>
        <v>113.87</v>
      </c>
      <c r="W80" s="22">
        <f>SUM(W76:W78)-W79</f>
        <v>82.450000000000003</v>
      </c>
      <c r="X80" s="22">
        <f>SUM(X76:X78)-X79</f>
        <v>187.52000000000001</v>
      </c>
      <c r="Y80" s="22">
        <f>SUM(Y76:Y78)-Y79</f>
        <v>101.69</v>
      </c>
      <c r="Z80" s="22">
        <f>SUM(Z76:Z78)-Z79</f>
        <v>123.42</v>
      </c>
      <c r="AA80" s="22">
        <f>SUM(AA76:AA78)-AA79</f>
        <v>126.59</v>
      </c>
    </row>
    <row r="81" ht="15" customHeight="1">
      <c r="A81" s="21" t="inlineStr">
        <is>
          <t>Net Income</t>
        </is>
      </c>
      <c r="C81" s="30">
        <f>C72+C80</f>
        <v>1499.6299999999901</v>
      </c>
      <c r="D81" s="30">
        <f>D72+D80</f>
        <v>14516.25</v>
      </c>
      <c r="E81" s="30">
        <f>E72+E80</f>
        <v>5269.9700000000003</v>
      </c>
      <c r="F81" s="30">
        <f>F72+F80</f>
        <v>5158.5699999999997</v>
      </c>
      <c r="G81" s="30">
        <f>G72+G80</f>
        <v>3226.52</v>
      </c>
      <c r="H81" s="30">
        <f>H72+H80</f>
        <v>2937.5100000000102</v>
      </c>
      <c r="I81" s="30">
        <f>I72+I80</f>
        <v>-25378.400000000001</v>
      </c>
      <c r="J81" s="30">
        <f>J72+J80</f>
        <v>802.969999999999</v>
      </c>
      <c r="K81" s="30">
        <f>K72+K80</f>
        <v>484.75000000001103</v>
      </c>
      <c r="L81" s="30">
        <f>L72+L80</f>
        <v>12076.709999999999</v>
      </c>
      <c r="M81" s="30">
        <f>M72+M80</f>
        <v>17357.23</v>
      </c>
      <c r="N81" s="30">
        <f>N72+N80</f>
        <v>23478.209999999999</v>
      </c>
      <c r="O81" s="30">
        <f>O72+O80</f>
        <v>61.730000000005198</v>
      </c>
      <c r="P81" s="30">
        <f>P72+P80</f>
        <v>35334.660000000003</v>
      </c>
      <c r="Q81" s="30">
        <f>Q72+Q80</f>
        <v>768.13999999999999</v>
      </c>
      <c r="R81" s="30">
        <f>R72+R80</f>
        <v>15892.549999999999</v>
      </c>
      <c r="S81" s="30">
        <f>S72+S80</f>
        <v>27346.970000000001</v>
      </c>
      <c r="T81" s="30">
        <f>T72+T80</f>
        <v>15643.059999999999</v>
      </c>
      <c r="U81" s="30">
        <f>U72+U80</f>
        <v>-8122.4899999999898</v>
      </c>
      <c r="V81" s="30">
        <f>V72+V80</f>
        <v>23634.5</v>
      </c>
      <c r="W81" s="30">
        <f>W72+W80</f>
        <v>162.860000000003</v>
      </c>
      <c r="X81" s="30">
        <f>X72+X80</f>
        <v>8912.7600000000202</v>
      </c>
      <c r="Y81" s="30">
        <f>Y72+Y80</f>
        <v>22040.869999999999</v>
      </c>
      <c r="Z81" s="30">
        <f>Z72+Z80</f>
        <v>14873.66</v>
      </c>
      <c r="AA81" s="30">
        <f>AA72+AA80</f>
        <v>3836.1999999999998</v>
      </c>
    </row>
    <row r="82" ht="15" customHeight="1">
      <c r="A82" s="24" t="inlineStr">
        <is>
          <t>Net Margin %</t>
        </is>
      </c>
      <c r="C82" s="25">
        <f>IFERROR(C81/C15,0)</f>
        <v>0.022888286456223501</v>
      </c>
      <c r="D82" s="25">
        <f>IFERROR(D81/D15,0)</f>
        <v>0.18478510064033399</v>
      </c>
      <c r="E82" s="25">
        <f>IFERROR(E81/E15,0)</f>
        <v>0.075887070180819596</v>
      </c>
      <c r="F82" s="25">
        <f>IFERROR(F81/F15,0)</f>
        <v>0.074309222429398206</v>
      </c>
      <c r="G82" s="25">
        <f>IFERROR(G81/G15,0)</f>
        <v>0.0432493962011542</v>
      </c>
      <c r="H82" s="25">
        <f>IFERROR(H81/H15,0)</f>
        <v>0.042233164228725299</v>
      </c>
      <c r="I82" s="25">
        <f>IFERROR(I81/I15,0)</f>
        <v>-0.37155969011315099</v>
      </c>
      <c r="J82" s="25">
        <f>IFERROR(J81/J15,0)</f>
        <v>0.012243117448969601</v>
      </c>
      <c r="K82" s="25">
        <f>IFERROR(K81/K15,0)</f>
        <v>0.0080133953884502403</v>
      </c>
      <c r="L82" s="25">
        <f>IFERROR(L81/L15,0)</f>
        <v>0.17646896368717199</v>
      </c>
      <c r="M82" s="25">
        <f>IFERROR(M81/M15,0)</f>
        <v>0.23111914002502501</v>
      </c>
      <c r="N82" s="25">
        <f>IFERROR(N81/N15,0)</f>
        <v>0.28955520165517801</v>
      </c>
      <c r="O82" s="25">
        <f>IFERROR(O81/O15,0)</f>
        <v>0.0011226461349547799</v>
      </c>
      <c r="P82" s="25">
        <f>IFERROR(P81/P15,0)</f>
        <v>0.37232312795320599</v>
      </c>
      <c r="Q82" s="25">
        <f>IFERROR(Q81/Q15,0)</f>
        <v>0.0122750385922074</v>
      </c>
      <c r="R82" s="25">
        <f>IFERROR(R81/R15,0)</f>
        <v>0.204455014763683</v>
      </c>
      <c r="S82" s="25">
        <f>IFERROR(S81/S15,0)</f>
        <v>0.28837116458127099</v>
      </c>
      <c r="T82" s="25">
        <f>IFERROR(T81/T15,0)</f>
        <v>0.19375627355214101</v>
      </c>
      <c r="U82" s="25">
        <f>IFERROR(U81/U15,0)</f>
        <v>-0.10230047572771001</v>
      </c>
      <c r="V82" s="25">
        <f>IFERROR(V81/V15,0)</f>
        <v>0.25718565366637403</v>
      </c>
      <c r="W82" s="25">
        <f>IFERROR(W81/W15,0)</f>
        <v>0.0025579384203733399</v>
      </c>
      <c r="X82" s="25">
        <f>IFERROR(X81/X15,0)</f>
        <v>0.13329871531455501</v>
      </c>
      <c r="Y82" s="25">
        <f>IFERROR(Y81/Y15,0)</f>
        <v>0.24703422129514599</v>
      </c>
      <c r="Z82" s="25">
        <f>IFERROR(Z81/Z15,0)</f>
        <v>0.19387599082815499</v>
      </c>
      <c r="AA82" s="25">
        <f>IFERROR(AA81/AA15,0)</f>
        <v>0.059821710655787098</v>
      </c>
    </row>
    <row r="85" ht="15" customHeight="1">
      <c r="A85" s="15" t="inlineStr">
        <is>
          <t>BALANCE SHEET</t>
        </is>
      </c>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row>
    <row r="86" ht="21.75" customHeight="1">
      <c r="B86" s="17" t="inlineStr">
        <is>
          <t>TB 5/31/24</t>
        </is>
      </c>
      <c r="C86" s="18" t="inlineStr">
        <is>
          <t>Jun-24</t>
        </is>
      </c>
      <c r="D86" s="18" t="inlineStr">
        <is>
          <t>Jul-24</t>
        </is>
      </c>
      <c r="E86" s="18" t="inlineStr">
        <is>
          <t>Aug-24</t>
        </is>
      </c>
      <c r="F86" s="18" t="inlineStr">
        <is>
          <t>Sep-24</t>
        </is>
      </c>
      <c r="G86" s="18" t="inlineStr">
        <is>
          <t>Oct-24</t>
        </is>
      </c>
      <c r="H86" s="18" t="inlineStr">
        <is>
          <t>Nov-24</t>
        </is>
      </c>
      <c r="I86" s="18" t="inlineStr">
        <is>
          <t>Dec-24</t>
        </is>
      </c>
      <c r="J86" s="18" t="inlineStr">
        <is>
          <t>Jan-25</t>
        </is>
      </c>
      <c r="K86" s="18" t="inlineStr">
        <is>
          <t>Feb-25</t>
        </is>
      </c>
      <c r="L86" s="18" t="inlineStr">
        <is>
          <t>Mar-25</t>
        </is>
      </c>
      <c r="M86" s="18" t="inlineStr">
        <is>
          <t>Apr-25</t>
        </is>
      </c>
      <c r="N86" s="18" t="inlineStr">
        <is>
          <t>May-25</t>
        </is>
      </c>
      <c r="O86" s="18" t="inlineStr">
        <is>
          <t>Jun-25</t>
        </is>
      </c>
      <c r="P86" s="18" t="inlineStr">
        <is>
          <t>Jul-25</t>
        </is>
      </c>
      <c r="Q86" s="18" t="inlineStr">
        <is>
          <t>Aug-25</t>
        </is>
      </c>
      <c r="R86" s="18" t="inlineStr">
        <is>
          <t>Sep-25</t>
        </is>
      </c>
      <c r="S86" s="18" t="inlineStr">
        <is>
          <t>Oct-25</t>
        </is>
      </c>
      <c r="T86" s="18" t="inlineStr">
        <is>
          <t>Nov-25</t>
        </is>
      </c>
      <c r="U86" s="18" t="inlineStr">
        <is>
          <t>Dec-25</t>
        </is>
      </c>
      <c r="V86" s="18" t="inlineStr">
        <is>
          <t>Jan-26</t>
        </is>
      </c>
      <c r="W86" s="18" t="inlineStr">
        <is>
          <t>Feb-26</t>
        </is>
      </c>
      <c r="X86" s="18" t="inlineStr">
        <is>
          <t>Mar-26</t>
        </is>
      </c>
      <c r="Y86" s="18" t="inlineStr">
        <is>
          <t>Apr-26</t>
        </is>
      </c>
      <c r="Z86" s="18" t="inlineStr">
        <is>
          <t>May-26</t>
        </is>
      </c>
      <c r="AA86" s="18" t="inlineStr">
        <is>
          <t>Jun-26</t>
        </is>
      </c>
    </row>
    <row r="87" ht="15" customHeight="1">
      <c r="A87" s="26" t="inlineStr">
        <is>
          <t>Current Assets</t>
        </is>
      </c>
    </row>
    <row r="88" ht="15" customHeight="1">
      <c r="A88" s="27" t="inlineStr">
        <is>
          <t>Smart VAs AMEX Checking</t>
        </is>
      </c>
      <c r="B88" s="20">
        <f>SUMIFS('GL Data'!$D:$D,'GL Data'!$B:$B,$A88)</f>
        <v>114.5</v>
      </c>
      <c r="C88" s="20">
        <f>B88+SUMIFS('GL Data'!$E:$E,'GL Data'!$B:$B,$A88)</f>
        <v>114.62</v>
      </c>
      <c r="D88" s="20">
        <f>C88+SUMIFS('GL Data'!$F:$F,'GL Data'!$B:$B,$A88)</f>
        <v>114.74000000000001</v>
      </c>
      <c r="E88" s="20">
        <f>D88+SUMIFS('GL Data'!$G:$G,'GL Data'!$B:$B,$A88)</f>
        <v>114.86000000000001</v>
      </c>
      <c r="F88" s="20">
        <f>E88+SUMIFS('GL Data'!$H:$H,'GL Data'!$B:$B,$A88)</f>
        <v>114.98000000000002</v>
      </c>
      <c r="G88" s="20">
        <f>F88+SUMIFS('GL Data'!$I:$I,'GL Data'!$B:$B,$A88)</f>
        <v>40137.010000000002</v>
      </c>
      <c r="H88" s="20">
        <f>G88+SUMIFS('GL Data'!$J:$J,'GL Data'!$B:$B,$A88)</f>
        <v>31791.940000000002</v>
      </c>
      <c r="I88" s="20">
        <f>H88+SUMIFS('GL Data'!$K:$K,'GL Data'!$B:$B,$A88)</f>
        <v>18681.290000000001</v>
      </c>
      <c r="J88" s="20">
        <f>I88+SUMIFS('GL Data'!$L:$L,'GL Data'!$B:$B,$A88)</f>
        <v>23435.920000000002</v>
      </c>
      <c r="K88" s="20">
        <f>J88+SUMIFS('GL Data'!$M:$M,'GL Data'!$B:$B,$A88)</f>
        <v>19360.720000000001</v>
      </c>
      <c r="L88" s="20">
        <f>K88+SUMIFS('GL Data'!$N:$N,'GL Data'!$B:$B,$A88)</f>
        <v>29554.670000000002</v>
      </c>
      <c r="M88" s="20">
        <f>L88+SUMIFS('GL Data'!$O:$O,'GL Data'!$B:$B,$A88)</f>
        <v>35451.090000000004</v>
      </c>
      <c r="N88" s="20">
        <f>M88+SUMIFS('GL Data'!$P:$P,'GL Data'!$B:$B,$A88)</f>
        <v>52681.400000000009</v>
      </c>
      <c r="O88" s="20">
        <f>N88+SUMIFS('GL Data'!$Q:$Q,'GL Data'!$B:$B,$A88)</f>
        <v>38830.070000000007</v>
      </c>
      <c r="P88" s="20">
        <f>O88+SUMIFS('GL Data'!$R:$R,'GL Data'!$B:$B,$A88)</f>
        <v>63924.190000000002</v>
      </c>
      <c r="Q88" s="20">
        <f>P88+SUMIFS('GL Data'!$S:$S,'GL Data'!$B:$B,$A88)</f>
        <v>44829.490000000005</v>
      </c>
      <c r="R88" s="20">
        <f>Q88+SUMIFS('GL Data'!$T:$T,'GL Data'!$B:$B,$A88)</f>
        <v>53999.500000000007</v>
      </c>
      <c r="S88" s="20">
        <f>R88+SUMIFS('GL Data'!$U:$U,'GL Data'!$B:$B,$A88)</f>
        <v>72739.610000000015</v>
      </c>
      <c r="T88" s="20">
        <f>S88+SUMIFS('GL Data'!$V:$V,'GL Data'!$B:$B,$A88)</f>
        <v>72588.900000000009</v>
      </c>
      <c r="U88" s="20">
        <f>T88+SUMIFS('GL Data'!$W:$W,'GL Data'!$B:$B,$A88)</f>
        <v>61335.80000000001</v>
      </c>
      <c r="V88" s="20">
        <f>U88+SUMIFS('GL Data'!$X:$X,'GL Data'!$B:$B,$A88)</f>
        <v>82533.330000000016</v>
      </c>
      <c r="W88" s="20">
        <f>V88+SUMIFS('GL Data'!$Y:$Y,'GL Data'!$B:$B,$A88)</f>
        <v>73427.050000000017</v>
      </c>
      <c r="X88" s="20">
        <f>W88+SUMIFS('GL Data'!$Z:$Z,'GL Data'!$B:$B,$A88)</f>
        <v>69359.560000000012</v>
      </c>
      <c r="Y88" s="20">
        <f>X88+SUMIFS('GL Data'!$AA:$AA,'GL Data'!$B:$B,$A88)</f>
        <v>87470.520000000019</v>
      </c>
      <c r="Z88" s="20">
        <f>Y88+SUMIFS('GL Data'!$AB:$AB,'GL Data'!$B:$B,$A88)</f>
        <v>92436.020000000019</v>
      </c>
      <c r="AA88" s="20">
        <f>Z88+SUMIFS('GL Data'!$AC:$AC,'GL Data'!$B:$B,$A88)</f>
        <v>87171.60000000002</v>
      </c>
    </row>
    <row r="89" ht="15" customHeight="1">
      <c r="A89" s="27" t="inlineStr">
        <is>
          <t>SMARTVAS Checking</t>
        </is>
      </c>
      <c r="B89" s="20">
        <f>SUMIFS('GL Data'!$D:$D,'GL Data'!$B:$B,$A89)</f>
        <v>28165.66</v>
      </c>
      <c r="C89" s="20">
        <f>B89+SUMIFS('GL Data'!$E:$E,'GL Data'!$B:$B,$A89)</f>
        <v>23170.619999999999</v>
      </c>
      <c r="D89" s="20">
        <f>C89+SUMIFS('GL Data'!$F:$F,'GL Data'!$B:$B,$A89)</f>
        <v>21918.75</v>
      </c>
      <c r="E89" s="20">
        <f>D89+SUMIFS('GL Data'!$G:$G,'GL Data'!$B:$B,$A89)</f>
        <v>22853.389999999999</v>
      </c>
      <c r="F89" s="20">
        <f>E89+SUMIFS('GL Data'!$H:$H,'GL Data'!$B:$B,$A89)</f>
        <v>19881.970000000001</v>
      </c>
      <c r="G89" s="20">
        <f>F89+SUMIFS('GL Data'!$I:$I,'GL Data'!$B:$B,$A89)</f>
        <v>182.96000000000276</v>
      </c>
      <c r="H89" s="20">
        <f>G89+SUMIFS('GL Data'!$J:$J,'GL Data'!$B:$B,$A89)</f>
        <v>144.96000000000276</v>
      </c>
      <c r="I89" s="20">
        <f>H89+SUMIFS('GL Data'!$K:$K,'GL Data'!$B:$B,$A89)</f>
        <v>2.7569058147491887e-12</v>
      </c>
      <c r="J89" s="20">
        <f>I89+SUMIFS('GL Data'!$L:$L,'GL Data'!$B:$B,$A89)</f>
        <v>2.7569058147491887e-12</v>
      </c>
      <c r="K89" s="20">
        <f>J89+SUMIFS('GL Data'!$M:$M,'GL Data'!$B:$B,$A89)</f>
        <v>2.7569058147491887e-12</v>
      </c>
      <c r="L89" s="20">
        <f>K89+SUMIFS('GL Data'!$N:$N,'GL Data'!$B:$B,$A89)</f>
        <v>2.7569058147491887e-12</v>
      </c>
      <c r="M89" s="20">
        <f>L89+SUMIFS('GL Data'!$O:$O,'GL Data'!$B:$B,$A89)</f>
        <v>2.7569058147491887e-12</v>
      </c>
      <c r="N89" s="20">
        <f>M89+SUMIFS('GL Data'!$P:$P,'GL Data'!$B:$B,$A89)</f>
        <v>2.7569058147491887e-12</v>
      </c>
      <c r="O89" s="20">
        <f>N89+SUMIFS('GL Data'!$Q:$Q,'GL Data'!$B:$B,$A89)</f>
        <v>2.7569058147491887e-12</v>
      </c>
      <c r="P89" s="20">
        <f>O89+SUMIFS('GL Data'!$R:$R,'GL Data'!$B:$B,$A89)</f>
        <v>2.7569058147491887e-12</v>
      </c>
      <c r="Q89" s="20">
        <f>P89+SUMIFS('GL Data'!$S:$S,'GL Data'!$B:$B,$A89)</f>
        <v>2.7569058147491887e-12</v>
      </c>
      <c r="R89" s="20">
        <f>Q89+SUMIFS('GL Data'!$T:$T,'GL Data'!$B:$B,$A89)</f>
        <v>2.7569058147491887e-12</v>
      </c>
      <c r="S89" s="20">
        <f>R89+SUMIFS('GL Data'!$U:$U,'GL Data'!$B:$B,$A89)</f>
        <v>2.7569058147491887e-12</v>
      </c>
      <c r="T89" s="20">
        <f>S89+SUMIFS('GL Data'!$V:$V,'GL Data'!$B:$B,$A89)</f>
        <v>2.7569058147491887e-12</v>
      </c>
      <c r="U89" s="20">
        <f>T89+SUMIFS('GL Data'!$W:$W,'GL Data'!$B:$B,$A89)</f>
        <v>2.7569058147491887e-12</v>
      </c>
      <c r="V89" s="20">
        <f>U89+SUMIFS('GL Data'!$X:$X,'GL Data'!$B:$B,$A89)</f>
        <v>2.7569058147491887e-12</v>
      </c>
      <c r="W89" s="20">
        <f>V89+SUMIFS('GL Data'!$Y:$Y,'GL Data'!$B:$B,$A89)</f>
        <v>2.7569058147491887e-12</v>
      </c>
      <c r="X89" s="20">
        <f>W89+SUMIFS('GL Data'!$Z:$Z,'GL Data'!$B:$B,$A89)</f>
        <v>2.7569058147491887e-12</v>
      </c>
      <c r="Y89" s="20">
        <f>X89+SUMIFS('GL Data'!$AA:$AA,'GL Data'!$B:$B,$A89)</f>
        <v>2.7569058147491887e-12</v>
      </c>
      <c r="Z89" s="20">
        <f>Y89+SUMIFS('GL Data'!$AB:$AB,'GL Data'!$B:$B,$A89)</f>
        <v>2.7569058147491887e-12</v>
      </c>
      <c r="AA89" s="20">
        <f>Z89+SUMIFS('GL Data'!$AC:$AC,'GL Data'!$B:$B,$A89)</f>
        <v>2.7569058147491887e-12</v>
      </c>
    </row>
    <row r="90" ht="15" customHeight="1">
      <c r="A90" s="27" t="inlineStr">
        <is>
          <t>Unionbank</t>
        </is>
      </c>
      <c r="B90" s="20">
        <f>SUMIFS('GL Data'!$D:$D,'GL Data'!$B:$B,$A90)</f>
        <v>79.670000000000002</v>
      </c>
      <c r="C90" s="20">
        <f>B90+SUMIFS('GL Data'!$E:$E,'GL Data'!$B:$B,$A90)</f>
        <v>79.670000000000002</v>
      </c>
      <c r="D90" s="20">
        <f>C90+SUMIFS('GL Data'!$F:$F,'GL Data'!$B:$B,$A90)</f>
        <v>79.670000000000002</v>
      </c>
      <c r="E90" s="20">
        <f>D90+SUMIFS('GL Data'!$G:$G,'GL Data'!$B:$B,$A90)</f>
        <v>79.670000000000002</v>
      </c>
      <c r="F90" s="20">
        <f>E90+SUMIFS('GL Data'!$H:$H,'GL Data'!$B:$B,$A90)</f>
        <v>79.670000000000002</v>
      </c>
      <c r="G90" s="20">
        <f>F90+SUMIFS('GL Data'!$I:$I,'GL Data'!$B:$B,$A90)</f>
        <v>79.670000000000002</v>
      </c>
      <c r="H90" s="20">
        <f>G90+SUMIFS('GL Data'!$J:$J,'GL Data'!$B:$B,$A90)</f>
        <v>79.670000000000002</v>
      </c>
      <c r="I90" s="20">
        <f>H90+SUMIFS('GL Data'!$K:$K,'GL Data'!$B:$B,$A90)</f>
        <v>79.670000000000002</v>
      </c>
      <c r="J90" s="20">
        <f>I90+SUMIFS('GL Data'!$L:$L,'GL Data'!$B:$B,$A90)</f>
        <v>79.670000000000002</v>
      </c>
      <c r="K90" s="20">
        <f>J90+SUMIFS('GL Data'!$M:$M,'GL Data'!$B:$B,$A90)</f>
        <v>79.670000000000002</v>
      </c>
      <c r="L90" s="20">
        <f>K90+SUMIFS('GL Data'!$N:$N,'GL Data'!$B:$B,$A90)</f>
        <v>0</v>
      </c>
      <c r="M90" s="20">
        <f>L90+SUMIFS('GL Data'!$O:$O,'GL Data'!$B:$B,$A90)</f>
        <v>0</v>
      </c>
      <c r="N90" s="20">
        <f>M90+SUMIFS('GL Data'!$P:$P,'GL Data'!$B:$B,$A90)</f>
        <v>0</v>
      </c>
      <c r="O90" s="20">
        <f>N90+SUMIFS('GL Data'!$Q:$Q,'GL Data'!$B:$B,$A90)</f>
        <v>0</v>
      </c>
      <c r="P90" s="20">
        <f>O90+SUMIFS('GL Data'!$R:$R,'GL Data'!$B:$B,$A90)</f>
        <v>0</v>
      </c>
      <c r="Q90" s="20">
        <f>P90+SUMIFS('GL Data'!$S:$S,'GL Data'!$B:$B,$A90)</f>
        <v>0</v>
      </c>
      <c r="R90" s="20">
        <f>Q90+SUMIFS('GL Data'!$T:$T,'GL Data'!$B:$B,$A90)</f>
        <v>0</v>
      </c>
      <c r="S90" s="20">
        <f>R90+SUMIFS('GL Data'!$U:$U,'GL Data'!$B:$B,$A90)</f>
        <v>0</v>
      </c>
      <c r="T90" s="20">
        <f>S90+SUMIFS('GL Data'!$V:$V,'GL Data'!$B:$B,$A90)</f>
        <v>0</v>
      </c>
      <c r="U90" s="20">
        <f>T90+SUMIFS('GL Data'!$W:$W,'GL Data'!$B:$B,$A90)</f>
        <v>0</v>
      </c>
      <c r="V90" s="20">
        <f>U90+SUMIFS('GL Data'!$X:$X,'GL Data'!$B:$B,$A90)</f>
        <v>0</v>
      </c>
      <c r="W90" s="20">
        <f>V90+SUMIFS('GL Data'!$Y:$Y,'GL Data'!$B:$B,$A90)</f>
        <v>0</v>
      </c>
      <c r="X90" s="20">
        <f>W90+SUMIFS('GL Data'!$Z:$Z,'GL Data'!$B:$B,$A90)</f>
        <v>0</v>
      </c>
      <c r="Y90" s="20">
        <f>X90+SUMIFS('GL Data'!$AA:$AA,'GL Data'!$B:$B,$A90)</f>
        <v>0</v>
      </c>
      <c r="Z90" s="20">
        <f>Y90+SUMIFS('GL Data'!$AB:$AB,'GL Data'!$B:$B,$A90)</f>
        <v>0</v>
      </c>
      <c r="AA90" s="20">
        <f>Z90+SUMIFS('GL Data'!$AC:$AC,'GL Data'!$B:$B,$A90)</f>
        <v>0</v>
      </c>
    </row>
    <row r="91" ht="15" customHeight="1">
      <c r="A91" s="27" t="inlineStr">
        <is>
          <t>Wise Fund</t>
        </is>
      </c>
      <c r="B91" s="20">
        <f>SUMIFS('GL Data'!$D:$D,'GL Data'!$B:$B,$A91)</f>
        <v>9.8300000000000001</v>
      </c>
      <c r="C91" s="20">
        <f>B91+SUMIFS('GL Data'!$E:$E,'GL Data'!$B:$B,$A91)</f>
        <v>6.2000000000000002</v>
      </c>
      <c r="D91" s="20">
        <f>C91+SUMIFS('GL Data'!$F:$F,'GL Data'!$B:$B,$A91)</f>
        <v>6.2000000000000002</v>
      </c>
      <c r="E91" s="20">
        <f>D91+SUMIFS('GL Data'!$G:$G,'GL Data'!$B:$B,$A91)</f>
        <v>2.5500000000000003</v>
      </c>
      <c r="F91" s="20">
        <f>E91+SUMIFS('GL Data'!$H:$H,'GL Data'!$B:$B,$A91)</f>
        <v>2.5500000000000003</v>
      </c>
      <c r="G91" s="20">
        <f>F91+SUMIFS('GL Data'!$I:$I,'GL Data'!$B:$B,$A91)</f>
        <v>2.5500000000000003</v>
      </c>
      <c r="H91" s="20">
        <f>G91+SUMIFS('GL Data'!$J:$J,'GL Data'!$B:$B,$A91)</f>
        <v>2.5500000000000003</v>
      </c>
      <c r="I91" s="20">
        <f>H91+SUMIFS('GL Data'!$K:$K,'GL Data'!$B:$B,$A91)</f>
        <v>2.5500000000000003</v>
      </c>
      <c r="J91" s="20">
        <f>I91+SUMIFS('GL Data'!$L:$L,'GL Data'!$B:$B,$A91)</f>
        <v>2.5500000000000003</v>
      </c>
      <c r="K91" s="20">
        <f>J91+SUMIFS('GL Data'!$M:$M,'GL Data'!$B:$B,$A91)</f>
        <v>2.5500000000000003</v>
      </c>
      <c r="L91" s="20">
        <f>K91+SUMIFS('GL Data'!$N:$N,'GL Data'!$B:$B,$A91)</f>
        <v>2.5500000000000003</v>
      </c>
      <c r="M91" s="20">
        <f>L91+SUMIFS('GL Data'!$O:$O,'GL Data'!$B:$B,$A91)</f>
        <v>2.5500000000000003</v>
      </c>
      <c r="N91" s="20">
        <f>M91+SUMIFS('GL Data'!$P:$P,'GL Data'!$B:$B,$A91)</f>
        <v>2.5500000000000003</v>
      </c>
      <c r="O91" s="20">
        <f>N91+SUMIFS('GL Data'!$Q:$Q,'GL Data'!$B:$B,$A91)</f>
        <v>2.5500000000000003</v>
      </c>
      <c r="P91" s="20">
        <f>O91+SUMIFS('GL Data'!$R:$R,'GL Data'!$B:$B,$A91)</f>
        <v>2.5500000000000003</v>
      </c>
      <c r="Q91" s="20">
        <f>P91+SUMIFS('GL Data'!$S:$S,'GL Data'!$B:$B,$A91)</f>
        <v>2.5500000000000003</v>
      </c>
      <c r="R91" s="20">
        <f>Q91+SUMIFS('GL Data'!$T:$T,'GL Data'!$B:$B,$A91)</f>
        <v>2.5500000000000003</v>
      </c>
      <c r="S91" s="20">
        <f>R91+SUMIFS('GL Data'!$U:$U,'GL Data'!$B:$B,$A91)</f>
        <v>2.5500000000000003</v>
      </c>
      <c r="T91" s="20">
        <f>S91+SUMIFS('GL Data'!$V:$V,'GL Data'!$B:$B,$A91)</f>
        <v>2.5500000000000003</v>
      </c>
      <c r="U91" s="20">
        <f>T91+SUMIFS('GL Data'!$W:$W,'GL Data'!$B:$B,$A91)</f>
        <v>2.5500000000000003</v>
      </c>
      <c r="V91" s="20">
        <f>U91+SUMIFS('GL Data'!$X:$X,'GL Data'!$B:$B,$A91)</f>
        <v>2.5500000000000003</v>
      </c>
      <c r="W91" s="20">
        <f>V91+SUMIFS('GL Data'!$Y:$Y,'GL Data'!$B:$B,$A91)</f>
        <v>2.5500000000000003</v>
      </c>
      <c r="X91" s="20">
        <f>W91+SUMIFS('GL Data'!$Z:$Z,'GL Data'!$B:$B,$A91)</f>
        <v>2.5500000000000003</v>
      </c>
      <c r="Y91" s="20">
        <f>X91+SUMIFS('GL Data'!$AA:$AA,'GL Data'!$B:$B,$A91)</f>
        <v>2.5500000000000003</v>
      </c>
      <c r="Z91" s="20">
        <f>Y91+SUMIFS('GL Data'!$AB:$AB,'GL Data'!$B:$B,$A91)</f>
        <v>2.5500000000000003</v>
      </c>
      <c r="AA91" s="20">
        <f>Z91+SUMIFS('GL Data'!$AC:$AC,'GL Data'!$B:$B,$A91)</f>
        <v>2.5500000000000003</v>
      </c>
    </row>
    <row r="92" ht="15" customHeight="1">
      <c r="A92" s="27" t="inlineStr">
        <is>
          <t>Accounts Receivable</t>
        </is>
      </c>
      <c r="B92" s="20">
        <f>SUMIFS('GL Data'!$D:$D,'GL Data'!$B:$B,$A92)</f>
        <v>532.64999999999998</v>
      </c>
      <c r="C92" s="20">
        <f>B92+SUMIFS('GL Data'!$E:$E,'GL Data'!$B:$B,$A92)</f>
        <v>532.64999999999793</v>
      </c>
      <c r="D92" s="20">
        <f>C92+SUMIFS('GL Data'!$F:$F,'GL Data'!$B:$B,$A92)</f>
        <v>532.64999999999418</v>
      </c>
      <c r="E92" s="20">
        <f>D92+SUMIFS('GL Data'!$G:$G,'GL Data'!$B:$B,$A92)</f>
        <v>1248.1099999999856</v>
      </c>
      <c r="F92" s="20">
        <f>E92+SUMIFS('GL Data'!$H:$H,'GL Data'!$B:$B,$A92)</f>
        <v>2149.2499999999977</v>
      </c>
      <c r="G92" s="20">
        <f>F92+SUMIFS('GL Data'!$I:$I,'GL Data'!$B:$B,$A92)</f>
        <v>3016.9300000000053</v>
      </c>
      <c r="H92" s="20">
        <f>G92+SUMIFS('GL Data'!$J:$J,'GL Data'!$B:$B,$A92)</f>
        <v>3872.3300000000022</v>
      </c>
      <c r="I92" s="20">
        <f>H92+SUMIFS('GL Data'!$K:$K,'GL Data'!$B:$B,$A92)</f>
        <v>656.249999999995</v>
      </c>
      <c r="J92" s="20">
        <f>I92+SUMIFS('GL Data'!$L:$L,'GL Data'!$B:$B,$A92)</f>
        <v>1686.6699999999914</v>
      </c>
      <c r="K92" s="20">
        <f>J92+SUMIFS('GL Data'!$M:$M,'GL Data'!$B:$B,$A92)</f>
        <v>3674.8100000000031</v>
      </c>
      <c r="L92" s="20">
        <f>K92+SUMIFS('GL Data'!$N:$N,'GL Data'!$B:$B,$A92)</f>
        <v>1542.5400000000109</v>
      </c>
      <c r="M92" s="20">
        <f>L92+SUMIFS('GL Data'!$O:$O,'GL Data'!$B:$B,$A92)</f>
        <v>656.25000000001216</v>
      </c>
      <c r="N92" s="20">
        <f>M92+SUMIFS('GL Data'!$P:$P,'GL Data'!$B:$B,$A92)</f>
        <v>656.25000000002672</v>
      </c>
      <c r="O92" s="20">
        <f>N92+SUMIFS('GL Data'!$Q:$Q,'GL Data'!$B:$B,$A92)</f>
        <v>656.25000000002126</v>
      </c>
      <c r="P92" s="20">
        <f>O92+SUMIFS('GL Data'!$R:$R,'GL Data'!$B:$B,$A92)</f>
        <v>2271.0700000000284</v>
      </c>
      <c r="Q92" s="20">
        <f>P92+SUMIFS('GL Data'!$S:$S,'GL Data'!$B:$B,$A92)</f>
        <v>2555.4700000000307</v>
      </c>
      <c r="R92" s="20">
        <f>Q92+SUMIFS('GL Data'!$T:$T,'GL Data'!$B:$B,$A92)</f>
        <v>2271.0700000000375</v>
      </c>
      <c r="S92" s="20">
        <f>R92+SUMIFS('GL Data'!$U:$U,'GL Data'!$B:$B,$A92)</f>
        <v>2271.0700000000375</v>
      </c>
      <c r="T92" s="20">
        <f>S92+SUMIFS('GL Data'!$V:$V,'GL Data'!$B:$B,$A92)</f>
        <v>-6578.7899999999627</v>
      </c>
      <c r="U92" s="20">
        <f>T92+SUMIFS('GL Data'!$W:$W,'GL Data'!$B:$B,$A92)</f>
        <v>-2768.9499999999662</v>
      </c>
      <c r="V92" s="20">
        <f>U92+SUMIFS('GL Data'!$X:$X,'GL Data'!$B:$B,$A92)</f>
        <v>656.25000000004547</v>
      </c>
      <c r="W92" s="20">
        <f>V92+SUMIFS('GL Data'!$Y:$Y,'GL Data'!$B:$B,$A92)</f>
        <v>656.25000000005457</v>
      </c>
      <c r="X92" s="20">
        <f>W92+SUMIFS('GL Data'!$Z:$Z,'GL Data'!$B:$B,$A92)</f>
        <v>656.25000000006457</v>
      </c>
      <c r="Y92" s="20">
        <f>X92+SUMIFS('GL Data'!$AA:$AA,'GL Data'!$B:$B,$A92)</f>
        <v>656.25000000005002</v>
      </c>
      <c r="Z92" s="20">
        <f>Y92+SUMIFS('GL Data'!$AB:$AB,'GL Data'!$B:$B,$A92)</f>
        <v>656.25000000004457</v>
      </c>
      <c r="AA92" s="20">
        <f>Z92+SUMIFS('GL Data'!$AC:$AC,'GL Data'!$B:$B,$A92)</f>
        <v>656.25000000004093</v>
      </c>
    </row>
    <row r="93" ht="15" customHeight="1">
      <c r="A93" s="27" t="inlineStr">
        <is>
          <t>Other Receivables</t>
        </is>
      </c>
      <c r="B93" s="20">
        <f>SUMIFS('GL Data'!$D:$D,'GL Data'!$B:$B,$A93)</f>
        <v>0</v>
      </c>
      <c r="C93" s="20">
        <f>B93+SUMIFS('GL Data'!$E:$E,'GL Data'!$B:$B,$A93)</f>
        <v>0</v>
      </c>
      <c r="D93" s="20">
        <f>C93+SUMIFS('GL Data'!$F:$F,'GL Data'!$B:$B,$A93)</f>
        <v>3917.3299999999999</v>
      </c>
      <c r="E93" s="20">
        <f>D93+SUMIFS('GL Data'!$G:$G,'GL Data'!$B:$B,$A93)</f>
        <v>0</v>
      </c>
      <c r="F93" s="20">
        <f>E93+SUMIFS('GL Data'!$H:$H,'GL Data'!$B:$B,$A93)</f>
        <v>0</v>
      </c>
      <c r="G93" s="20">
        <f>F93+SUMIFS('GL Data'!$I:$I,'GL Data'!$B:$B,$A93)</f>
        <v>0</v>
      </c>
      <c r="H93" s="20">
        <f>G93+SUMIFS('GL Data'!$J:$J,'GL Data'!$B:$B,$A93)</f>
        <v>987.54999999999995</v>
      </c>
      <c r="I93" s="20">
        <f>H93+SUMIFS('GL Data'!$K:$K,'GL Data'!$B:$B,$A93)</f>
        <v>0</v>
      </c>
      <c r="J93" s="20">
        <f>I93+SUMIFS('GL Data'!$L:$L,'GL Data'!$B:$B,$A93)</f>
        <v>0</v>
      </c>
      <c r="K93" s="20">
        <f>J93+SUMIFS('GL Data'!$M:$M,'GL Data'!$B:$B,$A93)</f>
        <v>0</v>
      </c>
      <c r="L93" s="20">
        <f>K93+SUMIFS('GL Data'!$N:$N,'GL Data'!$B:$B,$A93)</f>
        <v>0</v>
      </c>
      <c r="M93" s="20">
        <f>L93+SUMIFS('GL Data'!$O:$O,'GL Data'!$B:$B,$A93)</f>
        <v>0</v>
      </c>
      <c r="N93" s="20">
        <f>M93+SUMIFS('GL Data'!$P:$P,'GL Data'!$B:$B,$A93)</f>
        <v>0</v>
      </c>
      <c r="O93" s="20">
        <f>N93+SUMIFS('GL Data'!$Q:$Q,'GL Data'!$B:$B,$A93)</f>
        <v>0</v>
      </c>
      <c r="P93" s="20">
        <f>O93+SUMIFS('GL Data'!$R:$R,'GL Data'!$B:$B,$A93)</f>
        <v>0</v>
      </c>
      <c r="Q93" s="20">
        <f>P93+SUMIFS('GL Data'!$S:$S,'GL Data'!$B:$B,$A93)</f>
        <v>0</v>
      </c>
      <c r="R93" s="20">
        <f>Q93+SUMIFS('GL Data'!$T:$T,'GL Data'!$B:$B,$A93)</f>
        <v>0</v>
      </c>
      <c r="S93" s="20">
        <f>R93+SUMIFS('GL Data'!$U:$U,'GL Data'!$B:$B,$A93)</f>
        <v>0</v>
      </c>
      <c r="T93" s="20">
        <f>S93+SUMIFS('GL Data'!$V:$V,'GL Data'!$B:$B,$A93)</f>
        <v>0</v>
      </c>
      <c r="U93" s="20">
        <f>T93+SUMIFS('GL Data'!$W:$W,'GL Data'!$B:$B,$A93)</f>
        <v>0</v>
      </c>
      <c r="V93" s="20">
        <f>U93+SUMIFS('GL Data'!$X:$X,'GL Data'!$B:$B,$A93)</f>
        <v>0</v>
      </c>
      <c r="W93" s="20">
        <f>V93+SUMIFS('GL Data'!$Y:$Y,'GL Data'!$B:$B,$A93)</f>
        <v>0</v>
      </c>
      <c r="X93" s="20">
        <f>W93+SUMIFS('GL Data'!$Z:$Z,'GL Data'!$B:$B,$A93)</f>
        <v>0</v>
      </c>
      <c r="Y93" s="20">
        <f>X93+SUMIFS('GL Data'!$AA:$AA,'GL Data'!$B:$B,$A93)</f>
        <v>0</v>
      </c>
      <c r="Z93" s="20">
        <f>Y93+SUMIFS('GL Data'!$AB:$AB,'GL Data'!$B:$B,$A93)</f>
        <v>0</v>
      </c>
      <c r="AA93" s="20">
        <f>Z93+SUMIFS('GL Data'!$AC:$AC,'GL Data'!$B:$B,$A93)</f>
        <v>0</v>
      </c>
    </row>
    <row r="94" ht="15" customHeight="1">
      <c r="A94" s="27" t="inlineStr">
        <is>
          <t>Advances subject to Liquidation</t>
        </is>
      </c>
      <c r="B94" s="20">
        <f>SUMIFS('GL Data'!$D:$D,'GL Data'!$B:$B,$A94)</f>
        <v>302.45999999999998</v>
      </c>
      <c r="C94" s="20">
        <f>B94+SUMIFS('GL Data'!$E:$E,'GL Data'!$B:$B,$A94)</f>
        <v>347.00999999999999</v>
      </c>
      <c r="D94" s="20">
        <f>C94+SUMIFS('GL Data'!$F:$F,'GL Data'!$B:$B,$A94)</f>
        <v>445.11000000000001</v>
      </c>
      <c r="E94" s="20">
        <f>D94+SUMIFS('GL Data'!$G:$G,'GL Data'!$B:$B,$A94)</f>
        <v>471.25</v>
      </c>
      <c r="F94" s="20">
        <f>E94+SUMIFS('GL Data'!$H:$H,'GL Data'!$B:$B,$A94)</f>
        <v>247.49000000000001</v>
      </c>
      <c r="G94" s="20">
        <f>F94+SUMIFS('GL Data'!$I:$I,'GL Data'!$B:$B,$A94)</f>
        <v>231.33000000000001</v>
      </c>
      <c r="H94" s="20">
        <f>G94+SUMIFS('GL Data'!$J:$J,'GL Data'!$B:$B,$A94)</f>
        <v>269.79000000000002</v>
      </c>
      <c r="I94" s="20">
        <f>H94+SUMIFS('GL Data'!$K:$K,'GL Data'!$B:$B,$A94)</f>
        <v>603.75999999999999</v>
      </c>
      <c r="J94" s="20">
        <f>I94+SUMIFS('GL Data'!$L:$L,'GL Data'!$B:$B,$A94)</f>
        <v>336.90999999999997</v>
      </c>
      <c r="K94" s="20">
        <f>J94+SUMIFS('GL Data'!$M:$M,'GL Data'!$B:$B,$A94)</f>
        <v>160.78999999999996</v>
      </c>
      <c r="L94" s="20">
        <f>K94+SUMIFS('GL Data'!$N:$N,'GL Data'!$B:$B,$A94)</f>
        <v>-104.95000000000005</v>
      </c>
      <c r="M94" s="20">
        <f>L94+SUMIFS('GL Data'!$O:$O,'GL Data'!$B:$B,$A94)</f>
        <v>140.65999999999997</v>
      </c>
      <c r="N94" s="20">
        <f>M94+SUMIFS('GL Data'!$P:$P,'GL Data'!$B:$B,$A94)</f>
        <v>117.81999999999996</v>
      </c>
      <c r="O94" s="20">
        <f>N94+SUMIFS('GL Data'!$Q:$Q,'GL Data'!$B:$B,$A94)</f>
        <v>117.81999999999996</v>
      </c>
      <c r="P94" s="20">
        <f>O94+SUMIFS('GL Data'!$R:$R,'GL Data'!$B:$B,$A94)</f>
        <v>117.81999999999996</v>
      </c>
      <c r="Q94" s="20">
        <f>P94+SUMIFS('GL Data'!$S:$S,'GL Data'!$B:$B,$A94)</f>
        <v>41.209999999999965</v>
      </c>
      <c r="R94" s="20">
        <f>Q94+SUMIFS('GL Data'!$T:$T,'GL Data'!$B:$B,$A94)</f>
        <v>0</v>
      </c>
      <c r="S94" s="20">
        <f>R94+SUMIFS('GL Data'!$U:$U,'GL Data'!$B:$B,$A94)</f>
        <v>0</v>
      </c>
      <c r="T94" s="20">
        <f>S94+SUMIFS('GL Data'!$V:$V,'GL Data'!$B:$B,$A94)</f>
        <v>0</v>
      </c>
      <c r="U94" s="20">
        <f>T94+SUMIFS('GL Data'!$W:$W,'GL Data'!$B:$B,$A94)</f>
        <v>0</v>
      </c>
      <c r="V94" s="20">
        <f>U94+SUMIFS('GL Data'!$X:$X,'GL Data'!$B:$B,$A94)</f>
        <v>0</v>
      </c>
      <c r="W94" s="20">
        <f>V94+SUMIFS('GL Data'!$Y:$Y,'GL Data'!$B:$B,$A94)</f>
        <v>0</v>
      </c>
      <c r="X94" s="20">
        <f>W94+SUMIFS('GL Data'!$Z:$Z,'GL Data'!$B:$B,$A94)</f>
        <v>0</v>
      </c>
      <c r="Y94" s="20">
        <f>X94+SUMIFS('GL Data'!$AA:$AA,'GL Data'!$B:$B,$A94)</f>
        <v>0</v>
      </c>
      <c r="Z94" s="20">
        <f>Y94+SUMIFS('GL Data'!$AB:$AB,'GL Data'!$B:$B,$A94)</f>
        <v>0</v>
      </c>
      <c r="AA94" s="20">
        <f>Z94+SUMIFS('GL Data'!$AC:$AC,'GL Data'!$B:$B,$A94)</f>
        <v>0</v>
      </c>
    </row>
    <row r="95" ht="15" customHeight="1">
      <c r="A95" s="27" t="inlineStr">
        <is>
          <t>Advances to Contractors</t>
        </is>
      </c>
      <c r="B95" s="20">
        <f>SUMIFS('GL Data'!$D:$D,'GL Data'!$B:$B,$A95)</f>
        <v>414.91000000000003</v>
      </c>
      <c r="C95" s="20">
        <f>B95+SUMIFS('GL Data'!$E:$E,'GL Data'!$B:$B,$A95)</f>
        <v>191.41000000000003</v>
      </c>
      <c r="D95" s="20">
        <f>C95+SUMIFS('GL Data'!$F:$F,'GL Data'!$B:$B,$A95)</f>
        <v>871.87000000000012</v>
      </c>
      <c r="E95" s="20">
        <f>D95+SUMIFS('GL Data'!$G:$G,'GL Data'!$B:$B,$A95)</f>
        <v>782.62000000000012</v>
      </c>
      <c r="F95" s="20">
        <f>E95+SUMIFS('GL Data'!$H:$H,'GL Data'!$B:$B,$A95)</f>
        <v>1623.27</v>
      </c>
      <c r="G95" s="20">
        <f>F95+SUMIFS('GL Data'!$I:$I,'GL Data'!$B:$B,$A95)</f>
        <v>1107.4099999999999</v>
      </c>
      <c r="H95" s="20">
        <f>G95+SUMIFS('GL Data'!$J:$J,'GL Data'!$B:$B,$A95)</f>
        <v>1925.6699999999998</v>
      </c>
      <c r="I95" s="20">
        <f>H95+SUMIFS('GL Data'!$K:$K,'GL Data'!$B:$B,$A95)</f>
        <v>1483.6399999999999</v>
      </c>
      <c r="J95" s="20">
        <f>I95+SUMIFS('GL Data'!$L:$L,'GL Data'!$B:$B,$A95)</f>
        <v>1282.6499999999999</v>
      </c>
      <c r="K95" s="20">
        <f>J95+SUMIFS('GL Data'!$M:$M,'GL Data'!$B:$B,$A95)</f>
        <v>1104.9799999999998</v>
      </c>
      <c r="L95" s="20">
        <f>K95+SUMIFS('GL Data'!$N:$N,'GL Data'!$B:$B,$A95)</f>
        <v>1105.5299999999997</v>
      </c>
      <c r="M95" s="20">
        <f>L95+SUMIFS('GL Data'!$O:$O,'GL Data'!$B:$B,$A95)</f>
        <v>1220.8099999999997</v>
      </c>
      <c r="N95" s="20">
        <f>M95+SUMIFS('GL Data'!$P:$P,'GL Data'!$B:$B,$A95)</f>
        <v>1338.7999999999997</v>
      </c>
      <c r="O95" s="20">
        <f>N95+SUMIFS('GL Data'!$Q:$Q,'GL Data'!$B:$B,$A95)</f>
        <v>1105.7799999999997</v>
      </c>
      <c r="P95" s="20">
        <f>O95+SUMIFS('GL Data'!$R:$R,'GL Data'!$B:$B,$A95)</f>
        <v>1300.4599999999998</v>
      </c>
      <c r="Q95" s="20">
        <f>P95+SUMIFS('GL Data'!$S:$S,'GL Data'!$B:$B,$A95)</f>
        <v>1790.9799999999998</v>
      </c>
      <c r="R95" s="20">
        <f>Q95+SUMIFS('GL Data'!$T:$T,'GL Data'!$B:$B,$A95)</f>
        <v>1385.5399999999997</v>
      </c>
      <c r="S95" s="20">
        <f>R95+SUMIFS('GL Data'!$U:$U,'GL Data'!$B:$B,$A95)</f>
        <v>1221.3699999999997</v>
      </c>
      <c r="T95" s="20">
        <f>S95+SUMIFS('GL Data'!$V:$V,'GL Data'!$B:$B,$A95)</f>
        <v>1422.8499999999997</v>
      </c>
      <c r="U95" s="20">
        <f>T95+SUMIFS('GL Data'!$W:$W,'GL Data'!$B:$B,$A95)</f>
        <v>1465.1499999999996</v>
      </c>
      <c r="V95" s="20">
        <f>U95+SUMIFS('GL Data'!$X:$X,'GL Data'!$B:$B,$A95)</f>
        <v>1399.5499999999997</v>
      </c>
      <c r="W95" s="20">
        <f>V95+SUMIFS('GL Data'!$Y:$Y,'GL Data'!$B:$B,$A95)</f>
        <v>674.18999999999971</v>
      </c>
      <c r="X95" s="20">
        <f>W95+SUMIFS('GL Data'!$Z:$Z,'GL Data'!$B:$B,$A95)</f>
        <v>377.75999999999971</v>
      </c>
      <c r="Y95" s="20">
        <f>X95+SUMIFS('GL Data'!$AA:$AA,'GL Data'!$B:$B,$A95)</f>
        <v>188.36999999999972</v>
      </c>
      <c r="Z95" s="20">
        <f>Y95+SUMIFS('GL Data'!$AB:$AB,'GL Data'!$B:$B,$A95)</f>
        <v>105.64999999999972</v>
      </c>
      <c r="AA95" s="20">
        <f>Z95+SUMIFS('GL Data'!$AC:$AC,'GL Data'!$B:$B,$A95)</f>
        <v>-2.8421709430404007e-13</v>
      </c>
    </row>
    <row r="96" ht="15" customHeight="1">
      <c r="A96" s="27" t="inlineStr">
        <is>
          <t>Prepaid Expenses</t>
        </is>
      </c>
      <c r="B96" s="20">
        <f>SUMIFS('GL Data'!$D:$D,'GL Data'!$B:$B,$A96)</f>
        <v>331.32999999999998</v>
      </c>
      <c r="C96" s="20">
        <f>B96+SUMIFS('GL Data'!$E:$E,'GL Data'!$B:$B,$A96)</f>
        <v>331.32999999999998</v>
      </c>
      <c r="D96" s="20">
        <f>C96+SUMIFS('GL Data'!$F:$F,'GL Data'!$B:$B,$A96)</f>
        <v>331.32999999999998</v>
      </c>
      <c r="E96" s="20">
        <f>D96+SUMIFS('GL Data'!$G:$G,'GL Data'!$B:$B,$A96)</f>
        <v>331.32999999999998</v>
      </c>
      <c r="F96" s="20">
        <f>E96+SUMIFS('GL Data'!$H:$H,'GL Data'!$B:$B,$A96)</f>
        <v>331.32999999999998</v>
      </c>
      <c r="G96" s="20">
        <f>F96+SUMIFS('GL Data'!$I:$I,'GL Data'!$B:$B,$A96)</f>
        <v>331.32999999999998</v>
      </c>
      <c r="H96" s="20">
        <f>G96+SUMIFS('GL Data'!$J:$J,'GL Data'!$B:$B,$A96)</f>
        <v>331.32999999999998</v>
      </c>
      <c r="I96" s="20">
        <f>H96+SUMIFS('GL Data'!$K:$K,'GL Data'!$B:$B,$A96)</f>
        <v>331.32999999999998</v>
      </c>
      <c r="J96" s="20">
        <f>I96+SUMIFS('GL Data'!$L:$L,'GL Data'!$B:$B,$A96)</f>
        <v>331.32999999999998</v>
      </c>
      <c r="K96" s="20">
        <f>J96+SUMIFS('GL Data'!$M:$M,'GL Data'!$B:$B,$A96)</f>
        <v>0</v>
      </c>
      <c r="L96" s="20">
        <f>K96+SUMIFS('GL Data'!$N:$N,'GL Data'!$B:$B,$A96)</f>
        <v>0</v>
      </c>
      <c r="M96" s="20">
        <f>L96+SUMIFS('GL Data'!$O:$O,'GL Data'!$B:$B,$A96)</f>
        <v>0</v>
      </c>
      <c r="N96" s="20">
        <f>M96+SUMIFS('GL Data'!$P:$P,'GL Data'!$B:$B,$A96)</f>
        <v>0</v>
      </c>
      <c r="O96" s="20">
        <f>N96+SUMIFS('GL Data'!$Q:$Q,'GL Data'!$B:$B,$A96)</f>
        <v>0</v>
      </c>
      <c r="P96" s="20">
        <f>O96+SUMIFS('GL Data'!$R:$R,'GL Data'!$B:$B,$A96)</f>
        <v>0</v>
      </c>
      <c r="Q96" s="20">
        <f>P96+SUMIFS('GL Data'!$S:$S,'GL Data'!$B:$B,$A96)</f>
        <v>0</v>
      </c>
      <c r="R96" s="20">
        <f>Q96+SUMIFS('GL Data'!$T:$T,'GL Data'!$B:$B,$A96)</f>
        <v>0</v>
      </c>
      <c r="S96" s="20">
        <f>R96+SUMIFS('GL Data'!$U:$U,'GL Data'!$B:$B,$A96)</f>
        <v>0</v>
      </c>
      <c r="T96" s="20">
        <f>S96+SUMIFS('GL Data'!$V:$V,'GL Data'!$B:$B,$A96)</f>
        <v>0</v>
      </c>
      <c r="U96" s="20">
        <f>T96+SUMIFS('GL Data'!$W:$W,'GL Data'!$B:$B,$A96)</f>
        <v>0</v>
      </c>
      <c r="V96" s="20">
        <f>U96+SUMIFS('GL Data'!$X:$X,'GL Data'!$B:$B,$A96)</f>
        <v>0</v>
      </c>
      <c r="W96" s="20">
        <f>V96+SUMIFS('GL Data'!$Y:$Y,'GL Data'!$B:$B,$A96)</f>
        <v>0</v>
      </c>
      <c r="X96" s="20">
        <f>W96+SUMIFS('GL Data'!$Z:$Z,'GL Data'!$B:$B,$A96)</f>
        <v>0</v>
      </c>
      <c r="Y96" s="20">
        <f>X96+SUMIFS('GL Data'!$AA:$AA,'GL Data'!$B:$B,$A96)</f>
        <v>0</v>
      </c>
      <c r="Z96" s="20">
        <f>Y96+SUMIFS('GL Data'!$AB:$AB,'GL Data'!$B:$B,$A96)</f>
        <v>0</v>
      </c>
      <c r="AA96" s="20">
        <f>Z96+SUMIFS('GL Data'!$AC:$AC,'GL Data'!$B:$B,$A96)</f>
        <v>0</v>
      </c>
    </row>
    <row r="97" ht="15" customHeight="1">
      <c r="A97" s="27" t="inlineStr">
        <is>
          <t>Due from Meet 5-Star Pros</t>
        </is>
      </c>
      <c r="B97" s="20">
        <f>SUMIFS('GL Data'!$D:$D,'GL Data'!$B:$B,$A97)</f>
        <v>0</v>
      </c>
      <c r="C97" s="20">
        <f>B97+SUMIFS('GL Data'!$E:$E,'GL Data'!$B:$B,$A97)</f>
        <v>0</v>
      </c>
      <c r="D97" s="20">
        <f>C97+SUMIFS('GL Data'!$F:$F,'GL Data'!$B:$B,$A97)</f>
        <v>0</v>
      </c>
      <c r="E97" s="20">
        <f>D97+SUMIFS('GL Data'!$G:$G,'GL Data'!$B:$B,$A97)</f>
        <v>0</v>
      </c>
      <c r="F97" s="20">
        <f>E97+SUMIFS('GL Data'!$H:$H,'GL Data'!$B:$B,$A97)</f>
        <v>0</v>
      </c>
      <c r="G97" s="20">
        <f>F97+SUMIFS('GL Data'!$I:$I,'GL Data'!$B:$B,$A97)</f>
        <v>0</v>
      </c>
      <c r="H97" s="20">
        <f>G97+SUMIFS('GL Data'!$J:$J,'GL Data'!$B:$B,$A97)</f>
        <v>0</v>
      </c>
      <c r="I97" s="20">
        <f>H97+SUMIFS('GL Data'!$K:$K,'GL Data'!$B:$B,$A97)</f>
        <v>0</v>
      </c>
      <c r="J97" s="20">
        <f>I97+SUMIFS('GL Data'!$L:$L,'GL Data'!$B:$B,$A97)</f>
        <v>0</v>
      </c>
      <c r="K97" s="20">
        <f>J97+SUMIFS('GL Data'!$M:$M,'GL Data'!$B:$B,$A97)</f>
        <v>0</v>
      </c>
      <c r="L97" s="20">
        <f>K97+SUMIFS('GL Data'!$N:$N,'GL Data'!$B:$B,$A97)</f>
        <v>0</v>
      </c>
      <c r="M97" s="20">
        <f>L97+SUMIFS('GL Data'!$O:$O,'GL Data'!$B:$B,$A97)</f>
        <v>0</v>
      </c>
      <c r="N97" s="20">
        <f>M97+SUMIFS('GL Data'!$P:$P,'GL Data'!$B:$B,$A97)</f>
        <v>0</v>
      </c>
      <c r="O97" s="20">
        <f>N97+SUMIFS('GL Data'!$Q:$Q,'GL Data'!$B:$B,$A97)</f>
        <v>0</v>
      </c>
      <c r="P97" s="20">
        <f>O97+SUMIFS('GL Data'!$R:$R,'GL Data'!$B:$B,$A97)</f>
        <v>0</v>
      </c>
      <c r="Q97" s="20">
        <f>P97+SUMIFS('GL Data'!$S:$S,'GL Data'!$B:$B,$A97)</f>
        <v>0</v>
      </c>
      <c r="R97" s="20">
        <f>Q97+SUMIFS('GL Data'!$T:$T,'GL Data'!$B:$B,$A97)</f>
        <v>0</v>
      </c>
      <c r="S97" s="20">
        <f>R97+SUMIFS('GL Data'!$U:$U,'GL Data'!$B:$B,$A97)</f>
        <v>0</v>
      </c>
      <c r="T97" s="20">
        <f>S97+SUMIFS('GL Data'!$V:$V,'GL Data'!$B:$B,$A97)</f>
        <v>5109.0900000000001</v>
      </c>
      <c r="U97" s="20">
        <f>T97+SUMIFS('GL Data'!$W:$W,'GL Data'!$B:$B,$A97)</f>
        <v>1712.6000000000004</v>
      </c>
      <c r="V97" s="20">
        <f>U97+SUMIFS('GL Data'!$X:$X,'GL Data'!$B:$B,$A97)</f>
        <v>0</v>
      </c>
      <c r="W97" s="20">
        <f>V97+SUMIFS('GL Data'!$Y:$Y,'GL Data'!$B:$B,$A97)</f>
        <v>0</v>
      </c>
      <c r="X97" s="20">
        <f>W97+SUMIFS('GL Data'!$Z:$Z,'GL Data'!$B:$B,$A97)</f>
        <v>0</v>
      </c>
      <c r="Y97" s="20">
        <f>X97+SUMIFS('GL Data'!$AA:$AA,'GL Data'!$B:$B,$A97)</f>
        <v>0</v>
      </c>
      <c r="Z97" s="20">
        <f>Y97+SUMIFS('GL Data'!$AB:$AB,'GL Data'!$B:$B,$A97)</f>
        <v>0</v>
      </c>
      <c r="AA97" s="20">
        <f>Z97+SUMIFS('GL Data'!$AC:$AC,'GL Data'!$B:$B,$A97)</f>
        <v>0</v>
      </c>
    </row>
    <row r="98" ht="15" customHeight="1">
      <c r="A98" s="27" t="inlineStr">
        <is>
          <t>Due from Meet 5-star VAs</t>
        </is>
      </c>
      <c r="B98" s="20">
        <f>SUMIFS('GL Data'!$D:$D,'GL Data'!$B:$B,$A98)</f>
        <v>0</v>
      </c>
      <c r="C98" s="20">
        <f>B98+SUMIFS('GL Data'!$E:$E,'GL Data'!$B:$B,$A98)</f>
        <v>263.97000000000003</v>
      </c>
      <c r="D98" s="20">
        <f>C98+SUMIFS('GL Data'!$F:$F,'GL Data'!$B:$B,$A98)</f>
        <v>-4.3799999999999386</v>
      </c>
      <c r="E98" s="20">
        <f>D98+SUMIFS('GL Data'!$G:$G,'GL Data'!$B:$B,$A98)</f>
        <v>39.59000000000006</v>
      </c>
      <c r="F98" s="20">
        <f>E98+SUMIFS('GL Data'!$H:$H,'GL Data'!$B:$B,$A98)</f>
        <v>363.15000000000009</v>
      </c>
      <c r="G98" s="20">
        <f>F98+SUMIFS('GL Data'!$I:$I,'GL Data'!$B:$B,$A98)</f>
        <v>1011.8700000000001</v>
      </c>
      <c r="H98" s="20">
        <f>G98+SUMIFS('GL Data'!$J:$J,'GL Data'!$B:$B,$A98)</f>
        <v>1037.1800000000001</v>
      </c>
      <c r="I98" s="20">
        <f>H98+SUMIFS('GL Data'!$K:$K,'GL Data'!$B:$B,$A98)</f>
        <v>1520.0800000000002</v>
      </c>
      <c r="J98" s="20">
        <f>I98+SUMIFS('GL Data'!$L:$L,'GL Data'!$B:$B,$A98)</f>
        <v>-532.64999999999986</v>
      </c>
      <c r="K98" s="20">
        <f>J98+SUMIFS('GL Data'!$M:$M,'GL Data'!$B:$B,$A98)</f>
        <v>-532.64999999999986</v>
      </c>
      <c r="L98" s="20">
        <f>K98+SUMIFS('GL Data'!$N:$N,'GL Data'!$B:$B,$A98)</f>
        <v>-88.339999999999861</v>
      </c>
      <c r="M98" s="20">
        <f>L98+SUMIFS('GL Data'!$O:$O,'GL Data'!$B:$B,$A98)</f>
        <v>-532.64999999999986</v>
      </c>
      <c r="N98" s="20">
        <f>M98+SUMIFS('GL Data'!$P:$P,'GL Data'!$B:$B,$A98)</f>
        <v>-57.249999999999886</v>
      </c>
      <c r="O98" s="20">
        <f>N98+SUMIFS('GL Data'!$Q:$Q,'GL Data'!$B:$B,$A98)</f>
        <v>672.95000000000016</v>
      </c>
      <c r="P98" s="20">
        <f>O98+SUMIFS('GL Data'!$R:$R,'GL Data'!$B:$B,$A98)</f>
        <v>-532.64999999999975</v>
      </c>
      <c r="Q98" s="20">
        <f>P98+SUMIFS('GL Data'!$S:$S,'GL Data'!$B:$B,$A98)</f>
        <v>-532.64999999999975</v>
      </c>
      <c r="R98" s="20">
        <f>Q98+SUMIFS('GL Data'!$T:$T,'GL Data'!$B:$B,$A98)</f>
        <v>-532.64999999999975</v>
      </c>
      <c r="S98" s="20">
        <f>R98+SUMIFS('GL Data'!$U:$U,'GL Data'!$B:$B,$A98)</f>
        <v>-532.64999999999975</v>
      </c>
      <c r="T98" s="20">
        <f>S98+SUMIFS('GL Data'!$V:$V,'GL Data'!$B:$B,$A98)</f>
        <v>-532.64999999999975</v>
      </c>
      <c r="U98" s="20">
        <f>T98+SUMIFS('GL Data'!$W:$W,'GL Data'!$B:$B,$A98)</f>
        <v>-532.64999999999975</v>
      </c>
      <c r="V98" s="20">
        <f>U98+SUMIFS('GL Data'!$X:$X,'GL Data'!$B:$B,$A98)</f>
        <v>-532.64999999999975</v>
      </c>
      <c r="W98" s="20">
        <f>V98+SUMIFS('GL Data'!$Y:$Y,'GL Data'!$B:$B,$A98)</f>
        <v>-532.64999999999975</v>
      </c>
      <c r="X98" s="20">
        <f>W98+SUMIFS('GL Data'!$Z:$Z,'GL Data'!$B:$B,$A98)</f>
        <v>-532.64999999999975</v>
      </c>
      <c r="Y98" s="20">
        <f>X98+SUMIFS('GL Data'!$AA:$AA,'GL Data'!$B:$B,$A98)</f>
        <v>-532.64999999999975</v>
      </c>
      <c r="Z98" s="20">
        <f>Y98+SUMIFS('GL Data'!$AB:$AB,'GL Data'!$B:$B,$A98)</f>
        <v>-532.64999999999975</v>
      </c>
      <c r="AA98" s="20">
        <f>Z98+SUMIFS('GL Data'!$AC:$AC,'GL Data'!$B:$B,$A98)</f>
        <v>-532.64999999999975</v>
      </c>
    </row>
    <row r="99" ht="15" customHeight="1">
      <c r="A99" s="27" t="inlineStr">
        <is>
          <t>Cash — modeled Line of Credit funding</t>
        </is>
      </c>
      <c r="B99" s="29" t="n">
        <v>0</v>
      </c>
      <c r="C99" s="29">
        <f>C120</f>
        <v>0</v>
      </c>
      <c r="D99" s="29">
        <f>D120</f>
        <v>0</v>
      </c>
      <c r="E99" s="29">
        <f>E120</f>
        <v>0</v>
      </c>
      <c r="F99" s="29">
        <f>F120</f>
        <v>0</v>
      </c>
      <c r="G99" s="29">
        <f>G120</f>
        <v>0</v>
      </c>
      <c r="H99" s="29">
        <f>H120</f>
        <v>0</v>
      </c>
      <c r="I99" s="29">
        <f>I120</f>
        <v>0</v>
      </c>
      <c r="J99" s="29">
        <f>J120</f>
        <v>0</v>
      </c>
      <c r="K99" s="29">
        <f>K120</f>
        <v>0</v>
      </c>
      <c r="L99" s="29">
        <f>L120</f>
        <v>0</v>
      </c>
      <c r="M99" s="29">
        <f>M120</f>
        <v>0</v>
      </c>
      <c r="N99" s="29">
        <f>N120</f>
        <v>0</v>
      </c>
      <c r="O99" s="29">
        <f>O120</f>
        <v>0</v>
      </c>
      <c r="P99" s="29">
        <f>P120</f>
        <v>0</v>
      </c>
      <c r="Q99" s="29">
        <f>Q120</f>
        <v>0</v>
      </c>
      <c r="R99" s="29">
        <f>R120</f>
        <v>0</v>
      </c>
      <c r="S99" s="29">
        <f>S120</f>
        <v>0</v>
      </c>
      <c r="T99" s="29">
        <f>T120</f>
        <v>0</v>
      </c>
      <c r="U99" s="29">
        <f>U120</f>
        <v>0</v>
      </c>
      <c r="V99" s="29">
        <f>V120</f>
        <v>0</v>
      </c>
      <c r="W99" s="29">
        <f>W120</f>
        <v>0</v>
      </c>
      <c r="X99" s="29">
        <f>X120</f>
        <v>0</v>
      </c>
      <c r="Y99" s="29">
        <f>Y120</f>
        <v>0</v>
      </c>
      <c r="Z99" s="29">
        <f>Z120</f>
        <v>0</v>
      </c>
      <c r="AA99" s="29">
        <f>AA120</f>
        <v>0</v>
      </c>
    </row>
    <row r="100" ht="15" customHeight="1">
      <c r="A100" s="28" t="inlineStr">
        <is>
          <t>Total Current Assets</t>
        </is>
      </c>
      <c r="B100" s="22">
        <f>SUM(B88:B99)</f>
        <v>29951.010000000002</v>
      </c>
      <c r="C100" s="22">
        <f>SUM(C88:C99)</f>
        <v>25037.48</v>
      </c>
      <c r="D100" s="22">
        <f>SUM(D88:D99)</f>
        <v>28213.27</v>
      </c>
      <c r="E100" s="22">
        <f>SUM(E88:E99)</f>
        <v>25923.369999999999</v>
      </c>
      <c r="F100" s="22">
        <f>SUM(F88:F99)</f>
        <v>24793.66</v>
      </c>
      <c r="G100" s="22">
        <f>SUM(G88:G99)</f>
        <v>46101.059999999998</v>
      </c>
      <c r="H100" s="22">
        <f>SUM(H88:H99)</f>
        <v>40442.970000000001</v>
      </c>
      <c r="I100" s="22">
        <f>SUM(I88:I99)</f>
        <v>23358.57</v>
      </c>
      <c r="J100" s="22">
        <f>SUM(J88:J99)</f>
        <v>26623.049999999999</v>
      </c>
      <c r="K100" s="22">
        <f>SUM(K88:K99)</f>
        <v>23850.869999999999</v>
      </c>
      <c r="L100" s="22">
        <f>SUM(L88:L99)</f>
        <v>32012</v>
      </c>
      <c r="M100" s="22">
        <f>SUM(M88:M99)</f>
        <v>36938.709999999999</v>
      </c>
      <c r="N100" s="22">
        <f>SUM(N88:N99)</f>
        <v>54739.57</v>
      </c>
      <c r="O100" s="22">
        <f>SUM(O88:O99)</f>
        <v>41385.419999999998</v>
      </c>
      <c r="P100" s="22">
        <f>SUM(P88:P99)</f>
        <v>67083.440000000002</v>
      </c>
      <c r="Q100" s="22">
        <f>SUM(Q88:Q99)</f>
        <v>48687.050000000003</v>
      </c>
      <c r="R100" s="22">
        <f>SUM(R88:R99)</f>
        <v>57126.010000000002</v>
      </c>
      <c r="S100" s="22">
        <f>SUM(S88:S99)</f>
        <v>75701.949999999997</v>
      </c>
      <c r="T100" s="22">
        <f>SUM(T88:T99)</f>
        <v>72011.949999999997</v>
      </c>
      <c r="U100" s="22">
        <f>SUM(U88:U99)</f>
        <v>61214.5</v>
      </c>
      <c r="V100" s="22">
        <f>SUM(V88:V99)</f>
        <v>84059.029999999999</v>
      </c>
      <c r="W100" s="22">
        <f>SUM(W88:W99)</f>
        <v>74227.389999999999</v>
      </c>
      <c r="X100" s="22">
        <f>SUM(X88:X99)</f>
        <v>69863.470000000001</v>
      </c>
      <c r="Y100" s="22">
        <f>SUM(Y88:Y99)</f>
        <v>87785.039999999994</v>
      </c>
      <c r="Z100" s="22">
        <f>SUM(Z88:Z99)</f>
        <v>92667.820000000007</v>
      </c>
      <c r="AA100" s="22">
        <f>SUM(AA88:AA99)</f>
        <v>87297.75</v>
      </c>
    </row>
    <row r="102" ht="15" customHeight="1">
      <c r="A102" s="26" t="inlineStr">
        <is>
          <t>Non-Current Assets</t>
        </is>
      </c>
    </row>
    <row r="103" ht="15" customHeight="1">
      <c r="A103" s="27" t="inlineStr">
        <is>
          <t>Office Equipment</t>
        </is>
      </c>
      <c r="B103" s="20">
        <f>SUMIFS('GL Data'!$D:$D,'GL Data'!$B:$B,$A103)</f>
        <v>8982.8500000000004</v>
      </c>
      <c r="C103" s="20">
        <f>B103+SUMIFS('GL Data'!$E:$E,'GL Data'!$B:$B,$A103)</f>
        <v>8982.8500000000004</v>
      </c>
      <c r="D103" s="20">
        <f>C103+SUMIFS('GL Data'!$F:$F,'GL Data'!$B:$B,$A103)</f>
        <v>8982.8500000000004</v>
      </c>
      <c r="E103" s="20">
        <f>D103+SUMIFS('GL Data'!$G:$G,'GL Data'!$B:$B,$A103)</f>
        <v>8982.8500000000004</v>
      </c>
      <c r="F103" s="20">
        <f>E103+SUMIFS('GL Data'!$H:$H,'GL Data'!$B:$B,$A103)</f>
        <v>8982.8500000000004</v>
      </c>
      <c r="G103" s="20">
        <f>F103+SUMIFS('GL Data'!$I:$I,'GL Data'!$B:$B,$A103)</f>
        <v>8982.8500000000004</v>
      </c>
      <c r="H103" s="20">
        <f>G103+SUMIFS('GL Data'!$J:$J,'GL Data'!$B:$B,$A103)</f>
        <v>8982.8500000000004</v>
      </c>
      <c r="I103" s="20">
        <f>H103+SUMIFS('GL Data'!$K:$K,'GL Data'!$B:$B,$A103)</f>
        <v>8982.8500000000004</v>
      </c>
      <c r="J103" s="20">
        <f>I103+SUMIFS('GL Data'!$L:$L,'GL Data'!$B:$B,$A103)</f>
        <v>8982.8500000000004</v>
      </c>
      <c r="K103" s="20">
        <f>J103+SUMIFS('GL Data'!$M:$M,'GL Data'!$B:$B,$A103)</f>
        <v>8982.8500000000004</v>
      </c>
      <c r="L103" s="20">
        <f>K103+SUMIFS('GL Data'!$N:$N,'GL Data'!$B:$B,$A103)</f>
        <v>8982.8500000000004</v>
      </c>
      <c r="M103" s="20">
        <f>L103+SUMIFS('GL Data'!$O:$O,'GL Data'!$B:$B,$A103)</f>
        <v>8982.8500000000004</v>
      </c>
      <c r="N103" s="20">
        <f>M103+SUMIFS('GL Data'!$P:$P,'GL Data'!$B:$B,$A103)</f>
        <v>8982.8500000000004</v>
      </c>
      <c r="O103" s="20">
        <f>N103+SUMIFS('GL Data'!$Q:$Q,'GL Data'!$B:$B,$A103)</f>
        <v>8982.8500000000004</v>
      </c>
      <c r="P103" s="20">
        <f>O103+SUMIFS('GL Data'!$R:$R,'GL Data'!$B:$B,$A103)</f>
        <v>8982.8500000000004</v>
      </c>
      <c r="Q103" s="20">
        <f>P103+SUMIFS('GL Data'!$S:$S,'GL Data'!$B:$B,$A103)</f>
        <v>8982.8500000000004</v>
      </c>
      <c r="R103" s="20">
        <f>Q103+SUMIFS('GL Data'!$T:$T,'GL Data'!$B:$B,$A103)</f>
        <v>8982.8500000000004</v>
      </c>
      <c r="S103" s="20">
        <f>R103+SUMIFS('GL Data'!$U:$U,'GL Data'!$B:$B,$A103)</f>
        <v>8982.8500000000004</v>
      </c>
      <c r="T103" s="20">
        <f>S103+SUMIFS('GL Data'!$V:$V,'GL Data'!$B:$B,$A103)</f>
        <v>8982.8500000000004</v>
      </c>
      <c r="U103" s="20">
        <f>T103+SUMIFS('GL Data'!$W:$W,'GL Data'!$B:$B,$A103)</f>
        <v>8982.8500000000004</v>
      </c>
      <c r="V103" s="20">
        <f>U103+SUMIFS('GL Data'!$X:$X,'GL Data'!$B:$B,$A103)</f>
        <v>8982.8500000000004</v>
      </c>
      <c r="W103" s="20">
        <f>V103+SUMIFS('GL Data'!$Y:$Y,'GL Data'!$B:$B,$A103)</f>
        <v>8982.8500000000004</v>
      </c>
      <c r="X103" s="20">
        <f>W103+SUMIFS('GL Data'!$Z:$Z,'GL Data'!$B:$B,$A103)</f>
        <v>8982.8500000000004</v>
      </c>
      <c r="Y103" s="20">
        <f>X103+SUMIFS('GL Data'!$AA:$AA,'GL Data'!$B:$B,$A103)</f>
        <v>8982.8500000000004</v>
      </c>
      <c r="Z103" s="20">
        <f>Y103+SUMIFS('GL Data'!$AB:$AB,'GL Data'!$B:$B,$A103)</f>
        <v>8982.8500000000004</v>
      </c>
      <c r="AA103" s="20">
        <f>Z103+SUMIFS('GL Data'!$AC:$AC,'GL Data'!$B:$B,$A103)</f>
        <v>8982.8500000000004</v>
      </c>
    </row>
    <row r="104" ht="15" customHeight="1">
      <c r="A104" s="27" t="inlineStr">
        <is>
          <t>Office Furniture &amp; Fixtures</t>
        </is>
      </c>
      <c r="B104" s="20">
        <f>SUMIFS('GL Data'!$D:$D,'GL Data'!$B:$B,$A104)</f>
        <v>3771.54</v>
      </c>
      <c r="C104" s="20">
        <f>B104+SUMIFS('GL Data'!$E:$E,'GL Data'!$B:$B,$A104)</f>
        <v>3771.54</v>
      </c>
      <c r="D104" s="20">
        <f>C104+SUMIFS('GL Data'!$F:$F,'GL Data'!$B:$B,$A104)</f>
        <v>3771.54</v>
      </c>
      <c r="E104" s="20">
        <f>D104+SUMIFS('GL Data'!$G:$G,'GL Data'!$B:$B,$A104)</f>
        <v>3771.54</v>
      </c>
      <c r="F104" s="20">
        <f>E104+SUMIFS('GL Data'!$H:$H,'GL Data'!$B:$B,$A104)</f>
        <v>3771.54</v>
      </c>
      <c r="G104" s="20">
        <f>F104+SUMIFS('GL Data'!$I:$I,'GL Data'!$B:$B,$A104)</f>
        <v>3771.54</v>
      </c>
      <c r="H104" s="20">
        <f>G104+SUMIFS('GL Data'!$J:$J,'GL Data'!$B:$B,$A104)</f>
        <v>3771.54</v>
      </c>
      <c r="I104" s="20">
        <f>H104+SUMIFS('GL Data'!$K:$K,'GL Data'!$B:$B,$A104)</f>
        <v>3771.54</v>
      </c>
      <c r="J104" s="20">
        <f>I104+SUMIFS('GL Data'!$L:$L,'GL Data'!$B:$B,$A104)</f>
        <v>3771.54</v>
      </c>
      <c r="K104" s="20">
        <f>J104+SUMIFS('GL Data'!$M:$M,'GL Data'!$B:$B,$A104)</f>
        <v>3771.54</v>
      </c>
      <c r="L104" s="20">
        <f>K104+SUMIFS('GL Data'!$N:$N,'GL Data'!$B:$B,$A104)</f>
        <v>3771.54</v>
      </c>
      <c r="M104" s="20">
        <f>L104+SUMIFS('GL Data'!$O:$O,'GL Data'!$B:$B,$A104)</f>
        <v>3771.54</v>
      </c>
      <c r="N104" s="20">
        <f>M104+SUMIFS('GL Data'!$P:$P,'GL Data'!$B:$B,$A104)</f>
        <v>3771.54</v>
      </c>
      <c r="O104" s="20">
        <f>N104+SUMIFS('GL Data'!$Q:$Q,'GL Data'!$B:$B,$A104)</f>
        <v>3771.54</v>
      </c>
      <c r="P104" s="20">
        <f>O104+SUMIFS('GL Data'!$R:$R,'GL Data'!$B:$B,$A104)</f>
        <v>3771.54</v>
      </c>
      <c r="Q104" s="20">
        <f>P104+SUMIFS('GL Data'!$S:$S,'GL Data'!$B:$B,$A104)</f>
        <v>3771.54</v>
      </c>
      <c r="R104" s="20">
        <f>Q104+SUMIFS('GL Data'!$T:$T,'GL Data'!$B:$B,$A104)</f>
        <v>3771.54</v>
      </c>
      <c r="S104" s="20">
        <f>R104+SUMIFS('GL Data'!$U:$U,'GL Data'!$B:$B,$A104)</f>
        <v>3771.54</v>
      </c>
      <c r="T104" s="20">
        <f>S104+SUMIFS('GL Data'!$V:$V,'GL Data'!$B:$B,$A104)</f>
        <v>3771.54</v>
      </c>
      <c r="U104" s="20">
        <f>T104+SUMIFS('GL Data'!$W:$W,'GL Data'!$B:$B,$A104)</f>
        <v>3771.54</v>
      </c>
      <c r="V104" s="20">
        <f>U104+SUMIFS('GL Data'!$X:$X,'GL Data'!$B:$B,$A104)</f>
        <v>3771.54</v>
      </c>
      <c r="W104" s="20">
        <f>V104+SUMIFS('GL Data'!$Y:$Y,'GL Data'!$B:$B,$A104)</f>
        <v>3771.54</v>
      </c>
      <c r="X104" s="20">
        <f>W104+SUMIFS('GL Data'!$Z:$Z,'GL Data'!$B:$B,$A104)</f>
        <v>3771.54</v>
      </c>
      <c r="Y104" s="20">
        <f>X104+SUMIFS('GL Data'!$AA:$AA,'GL Data'!$B:$B,$A104)</f>
        <v>3771.54</v>
      </c>
      <c r="Z104" s="20">
        <f>Y104+SUMIFS('GL Data'!$AB:$AB,'GL Data'!$B:$B,$A104)</f>
        <v>3771.54</v>
      </c>
      <c r="AA104" s="20">
        <f>Z104+SUMIFS('GL Data'!$AC:$AC,'GL Data'!$B:$B,$A104)</f>
        <v>3771.54</v>
      </c>
    </row>
    <row r="105" ht="15" customHeight="1">
      <c r="A105" s="27" t="inlineStr">
        <is>
          <t>Accumulated Depreciation</t>
        </is>
      </c>
      <c r="B105" s="20">
        <f>SUMIFS('GL Data'!$D:$D,'GL Data'!$B:$B,$A105)</f>
        <v>-12754.389999999999</v>
      </c>
      <c r="C105" s="20">
        <f>B105+SUMIFS('GL Data'!$E:$E,'GL Data'!$B:$B,$A105)</f>
        <v>-12754.389999999999</v>
      </c>
      <c r="D105" s="20">
        <f>C105+SUMIFS('GL Data'!$F:$F,'GL Data'!$B:$B,$A105)</f>
        <v>-12754.389999999999</v>
      </c>
      <c r="E105" s="20">
        <f>D105+SUMIFS('GL Data'!$G:$G,'GL Data'!$B:$B,$A105)</f>
        <v>-12754.389999999999</v>
      </c>
      <c r="F105" s="20">
        <f>E105+SUMIFS('GL Data'!$H:$H,'GL Data'!$B:$B,$A105)</f>
        <v>-12754.389999999999</v>
      </c>
      <c r="G105" s="20">
        <f>F105+SUMIFS('GL Data'!$I:$I,'GL Data'!$B:$B,$A105)</f>
        <v>-12754.389999999999</v>
      </c>
      <c r="H105" s="20">
        <f>G105+SUMIFS('GL Data'!$J:$J,'GL Data'!$B:$B,$A105)</f>
        <v>-12754.389999999999</v>
      </c>
      <c r="I105" s="20">
        <f>H105+SUMIFS('GL Data'!$K:$K,'GL Data'!$B:$B,$A105)</f>
        <v>-12754.389999999999</v>
      </c>
      <c r="J105" s="20">
        <f>I105+SUMIFS('GL Data'!$L:$L,'GL Data'!$B:$B,$A105)</f>
        <v>-12754.389999999999</v>
      </c>
      <c r="K105" s="20">
        <f>J105+SUMIFS('GL Data'!$M:$M,'GL Data'!$B:$B,$A105)</f>
        <v>-12754.389999999999</v>
      </c>
      <c r="L105" s="20">
        <f>K105+SUMIFS('GL Data'!$N:$N,'GL Data'!$B:$B,$A105)</f>
        <v>-12754.389999999999</v>
      </c>
      <c r="M105" s="20">
        <f>L105+SUMIFS('GL Data'!$O:$O,'GL Data'!$B:$B,$A105)</f>
        <v>-12754.389999999999</v>
      </c>
      <c r="N105" s="20">
        <f>M105+SUMIFS('GL Data'!$P:$P,'GL Data'!$B:$B,$A105)</f>
        <v>-12754.389999999999</v>
      </c>
      <c r="O105" s="20">
        <f>N105+SUMIFS('GL Data'!$Q:$Q,'GL Data'!$B:$B,$A105)</f>
        <v>-12754.389999999999</v>
      </c>
      <c r="P105" s="20">
        <f>O105+SUMIFS('GL Data'!$R:$R,'GL Data'!$B:$B,$A105)</f>
        <v>-12754.389999999999</v>
      </c>
      <c r="Q105" s="20">
        <f>P105+SUMIFS('GL Data'!$S:$S,'GL Data'!$B:$B,$A105)</f>
        <v>-12754.389999999999</v>
      </c>
      <c r="R105" s="20">
        <f>Q105+SUMIFS('GL Data'!$T:$T,'GL Data'!$B:$B,$A105)</f>
        <v>-12754.389999999999</v>
      </c>
      <c r="S105" s="20">
        <f>R105+SUMIFS('GL Data'!$U:$U,'GL Data'!$B:$B,$A105)</f>
        <v>-12754.389999999999</v>
      </c>
      <c r="T105" s="20">
        <f>S105+SUMIFS('GL Data'!$V:$V,'GL Data'!$B:$B,$A105)</f>
        <v>-12754.389999999999</v>
      </c>
      <c r="U105" s="20">
        <f>T105+SUMIFS('GL Data'!$W:$W,'GL Data'!$B:$B,$A105)</f>
        <v>-12754.389999999999</v>
      </c>
      <c r="V105" s="20">
        <f>U105+SUMIFS('GL Data'!$X:$X,'GL Data'!$B:$B,$A105)</f>
        <v>-12754.389999999999</v>
      </c>
      <c r="W105" s="20">
        <f>V105+SUMIFS('GL Data'!$Y:$Y,'GL Data'!$B:$B,$A105)</f>
        <v>-12754.389999999999</v>
      </c>
      <c r="X105" s="20">
        <f>W105+SUMIFS('GL Data'!$Z:$Z,'GL Data'!$B:$B,$A105)</f>
        <v>-12754.389999999999</v>
      </c>
      <c r="Y105" s="20">
        <f>X105+SUMIFS('GL Data'!$AA:$AA,'GL Data'!$B:$B,$A105)</f>
        <v>-12754.389999999999</v>
      </c>
      <c r="Z105" s="20">
        <f>Y105+SUMIFS('GL Data'!$AB:$AB,'GL Data'!$B:$B,$A105)</f>
        <v>-12754.389999999999</v>
      </c>
      <c r="AA105" s="20">
        <f>Z105+SUMIFS('GL Data'!$AC:$AC,'GL Data'!$B:$B,$A105)</f>
        <v>-12754.389999999999</v>
      </c>
    </row>
    <row r="106" ht="15" customHeight="1">
      <c r="A106" s="27" t="inlineStr">
        <is>
          <t>Security Deposit</t>
        </is>
      </c>
      <c r="B106" s="20">
        <f>SUMIFS('GL Data'!$D:$D,'GL Data'!$B:$B,$A106)</f>
        <v>807.40999999999997</v>
      </c>
      <c r="C106" s="20">
        <f>B106+SUMIFS('GL Data'!$E:$E,'GL Data'!$B:$B,$A106)</f>
        <v>807.40999999999997</v>
      </c>
      <c r="D106" s="20">
        <f>C106+SUMIFS('GL Data'!$F:$F,'GL Data'!$B:$B,$A106)</f>
        <v>807.40999999999997</v>
      </c>
      <c r="E106" s="20">
        <f>D106+SUMIFS('GL Data'!$G:$G,'GL Data'!$B:$B,$A106)</f>
        <v>807.40999999999997</v>
      </c>
      <c r="F106" s="20">
        <f>E106+SUMIFS('GL Data'!$H:$H,'GL Data'!$B:$B,$A106)</f>
        <v>807.40999999999997</v>
      </c>
      <c r="G106" s="20">
        <f>F106+SUMIFS('GL Data'!$I:$I,'GL Data'!$B:$B,$A106)</f>
        <v>807.40999999999997</v>
      </c>
      <c r="H106" s="20">
        <f>G106+SUMIFS('GL Data'!$J:$J,'GL Data'!$B:$B,$A106)</f>
        <v>807.40999999999997</v>
      </c>
      <c r="I106" s="20">
        <f>H106+SUMIFS('GL Data'!$K:$K,'GL Data'!$B:$B,$A106)</f>
        <v>807.40999999999997</v>
      </c>
      <c r="J106" s="20">
        <f>I106+SUMIFS('GL Data'!$L:$L,'GL Data'!$B:$B,$A106)</f>
        <v>807.40999999999997</v>
      </c>
      <c r="K106" s="20">
        <f>J106+SUMIFS('GL Data'!$M:$M,'GL Data'!$B:$B,$A106)</f>
        <v>807.40999999999997</v>
      </c>
      <c r="L106" s="20">
        <f>K106+SUMIFS('GL Data'!$N:$N,'GL Data'!$B:$B,$A106)</f>
        <v>807.40999999999997</v>
      </c>
      <c r="M106" s="20">
        <f>L106+SUMIFS('GL Data'!$O:$O,'GL Data'!$B:$B,$A106)</f>
        <v>807.40999999999997</v>
      </c>
      <c r="N106" s="20">
        <f>M106+SUMIFS('GL Data'!$P:$P,'GL Data'!$B:$B,$A106)</f>
        <v>807.40999999999997</v>
      </c>
      <c r="O106" s="20">
        <f>N106+SUMIFS('GL Data'!$Q:$Q,'GL Data'!$B:$B,$A106)</f>
        <v>807.40999999999997</v>
      </c>
      <c r="P106" s="20">
        <f>O106+SUMIFS('GL Data'!$R:$R,'GL Data'!$B:$B,$A106)</f>
        <v>0</v>
      </c>
      <c r="Q106" s="20">
        <f>P106+SUMIFS('GL Data'!$S:$S,'GL Data'!$B:$B,$A106)</f>
        <v>0</v>
      </c>
      <c r="R106" s="20">
        <f>Q106+SUMIFS('GL Data'!$T:$T,'GL Data'!$B:$B,$A106)</f>
        <v>0</v>
      </c>
      <c r="S106" s="20">
        <f>R106+SUMIFS('GL Data'!$U:$U,'GL Data'!$B:$B,$A106)</f>
        <v>0</v>
      </c>
      <c r="T106" s="20">
        <f>S106+SUMIFS('GL Data'!$V:$V,'GL Data'!$B:$B,$A106)</f>
        <v>0</v>
      </c>
      <c r="U106" s="20">
        <f>T106+SUMIFS('GL Data'!$W:$W,'GL Data'!$B:$B,$A106)</f>
        <v>0</v>
      </c>
      <c r="V106" s="20">
        <f>U106+SUMIFS('GL Data'!$X:$X,'GL Data'!$B:$B,$A106)</f>
        <v>0</v>
      </c>
      <c r="W106" s="20">
        <f>V106+SUMIFS('GL Data'!$Y:$Y,'GL Data'!$B:$B,$A106)</f>
        <v>0</v>
      </c>
      <c r="X106" s="20">
        <f>W106+SUMIFS('GL Data'!$Z:$Z,'GL Data'!$B:$B,$A106)</f>
        <v>0</v>
      </c>
      <c r="Y106" s="20">
        <f>X106+SUMIFS('GL Data'!$AA:$AA,'GL Data'!$B:$B,$A106)</f>
        <v>0</v>
      </c>
      <c r="Z106" s="20">
        <f>Y106+SUMIFS('GL Data'!$AB:$AB,'GL Data'!$B:$B,$A106)</f>
        <v>0</v>
      </c>
      <c r="AA106" s="20">
        <f>Z106+SUMIFS('GL Data'!$AC:$AC,'GL Data'!$B:$B,$A106)</f>
        <v>0</v>
      </c>
    </row>
    <row r="107" ht="15" customHeight="1">
      <c r="A107" s="28" t="inlineStr">
        <is>
          <t>Total Non-Current Assets</t>
        </is>
      </c>
      <c r="B107" s="22">
        <f>SUM(B103:B106)</f>
        <v>807.40999999999997</v>
      </c>
      <c r="C107" s="22">
        <f>SUM(C103:C106)</f>
        <v>807.40999999999997</v>
      </c>
      <c r="D107" s="22">
        <f>SUM(D103:D106)</f>
        <v>807.40999999999997</v>
      </c>
      <c r="E107" s="22">
        <f>SUM(E103:E106)</f>
        <v>807.40999999999997</v>
      </c>
      <c r="F107" s="22">
        <f>SUM(F103:F106)</f>
        <v>807.40999999999997</v>
      </c>
      <c r="G107" s="22">
        <f>SUM(G103:G106)</f>
        <v>807.40999999999997</v>
      </c>
      <c r="H107" s="22">
        <f>SUM(H103:H106)</f>
        <v>807.40999999999997</v>
      </c>
      <c r="I107" s="22">
        <f>SUM(I103:I106)</f>
        <v>807.40999999999997</v>
      </c>
      <c r="J107" s="22">
        <f>SUM(J103:J106)</f>
        <v>807.40999999999997</v>
      </c>
      <c r="K107" s="22">
        <f>SUM(K103:K106)</f>
        <v>807.40999999999997</v>
      </c>
      <c r="L107" s="22">
        <f>SUM(L103:L106)</f>
        <v>807.40999999999997</v>
      </c>
      <c r="M107" s="22">
        <f>SUM(M103:M106)</f>
        <v>807.40999999999997</v>
      </c>
      <c r="N107" s="22">
        <f>SUM(N103:N106)</f>
        <v>807.40999999999997</v>
      </c>
      <c r="O107" s="22">
        <f>SUM(O103:O106)</f>
        <v>807.40999999999997</v>
      </c>
      <c r="P107" s="22">
        <f>SUM(P103:P106)</f>
        <v>0</v>
      </c>
      <c r="Q107" s="22">
        <f>SUM(Q103:Q106)</f>
        <v>0</v>
      </c>
      <c r="R107" s="22">
        <f>SUM(R103:R106)</f>
        <v>0</v>
      </c>
      <c r="S107" s="22">
        <f>SUM(S103:S106)</f>
        <v>0</v>
      </c>
      <c r="T107" s="22">
        <f>SUM(T103:T106)</f>
        <v>0</v>
      </c>
      <c r="U107" s="22">
        <f>SUM(U103:U106)</f>
        <v>0</v>
      </c>
      <c r="V107" s="22">
        <f>SUM(V103:V106)</f>
        <v>0</v>
      </c>
      <c r="W107" s="22">
        <f>SUM(W103:W106)</f>
        <v>0</v>
      </c>
      <c r="X107" s="22">
        <f>SUM(X103:X106)</f>
        <v>0</v>
      </c>
      <c r="Y107" s="22">
        <f>SUM(Y103:Y106)</f>
        <v>0</v>
      </c>
      <c r="Z107" s="22">
        <f>SUM(Z103:Z106)</f>
        <v>0</v>
      </c>
      <c r="AA107" s="22">
        <f>SUM(AA103:AA106)</f>
        <v>0</v>
      </c>
    </row>
    <row r="108" ht="15" customHeight="1">
      <c r="A108" s="21" t="inlineStr">
        <is>
          <t>TOTAL ASSETS</t>
        </is>
      </c>
      <c r="B108" s="22">
        <f>B100+B107</f>
        <v>30758.420000000002</v>
      </c>
      <c r="C108" s="22">
        <f>C100+C107</f>
        <v>25844.889999999999</v>
      </c>
      <c r="D108" s="22">
        <f>D100+D107</f>
        <v>29020.68</v>
      </c>
      <c r="E108" s="22">
        <f>E100+E107</f>
        <v>26730.779999999999</v>
      </c>
      <c r="F108" s="22">
        <f>F100+F107</f>
        <v>25601.07</v>
      </c>
      <c r="G108" s="22">
        <f>G100+G107</f>
        <v>46908.470000000001</v>
      </c>
      <c r="H108" s="22">
        <f>H100+H107</f>
        <v>41250.379999999997</v>
      </c>
      <c r="I108" s="22">
        <f>I100+I107</f>
        <v>24165.98</v>
      </c>
      <c r="J108" s="22">
        <f>J100+J107</f>
        <v>27430.459999999999</v>
      </c>
      <c r="K108" s="22">
        <f>K100+K107</f>
        <v>24658.279999999999</v>
      </c>
      <c r="L108" s="22">
        <f>L100+L107</f>
        <v>32819.410000000003</v>
      </c>
      <c r="M108" s="22">
        <f>M100+M107</f>
        <v>37746.120000000003</v>
      </c>
      <c r="N108" s="22">
        <f>N100+N107</f>
        <v>55546.980000000003</v>
      </c>
      <c r="O108" s="22">
        <f>O100+O107</f>
        <v>42192.830000000002</v>
      </c>
      <c r="P108" s="22">
        <f>P100+P107</f>
        <v>67083.440000000002</v>
      </c>
      <c r="Q108" s="22">
        <f>Q100+Q107</f>
        <v>48687.050000000003</v>
      </c>
      <c r="R108" s="22">
        <f>R100+R107</f>
        <v>57126.010000000002</v>
      </c>
      <c r="S108" s="22">
        <f>S100+S107</f>
        <v>75701.949999999997</v>
      </c>
      <c r="T108" s="22">
        <f>T100+T107</f>
        <v>72011.949999999997</v>
      </c>
      <c r="U108" s="22">
        <f>U100+U107</f>
        <v>61214.5</v>
      </c>
      <c r="V108" s="22">
        <f>V100+V107</f>
        <v>84059.029999999999</v>
      </c>
      <c r="W108" s="22">
        <f>W100+W107</f>
        <v>74227.389999999999</v>
      </c>
      <c r="X108" s="22">
        <f>X100+X107</f>
        <v>69863.470000000001</v>
      </c>
      <c r="Y108" s="22">
        <f>Y100+Y107</f>
        <v>87785.039999999994</v>
      </c>
      <c r="Z108" s="22">
        <f>Z100+Z107</f>
        <v>92667.820000000007</v>
      </c>
      <c r="AA108" s="22">
        <f>AA100+AA107</f>
        <v>87297.75</v>
      </c>
    </row>
    <row r="110" ht="15" customHeight="1">
      <c r="A110" s="26" t="inlineStr">
        <is>
          <t>Current Liabilities</t>
        </is>
      </c>
    </row>
    <row r="111" ht="15" customHeight="1">
      <c r="A111" s="27" t="inlineStr">
        <is>
          <t>AMEX Credit Card</t>
        </is>
      </c>
      <c r="B111" s="20">
        <f>-SUMIFS('GL Data'!$D:$D,'GL Data'!$B:$B,$A111)</f>
        <v>1252.3</v>
      </c>
      <c r="C111" s="20">
        <f>B111-SUMIFS('GL Data'!$E:$E,'GL Data'!$B:$B,$A111)</f>
        <v>1393.21</v>
      </c>
      <c r="D111" s="20">
        <f>C111-SUMIFS('GL Data'!$F:$F,'GL Data'!$B:$B,$A111)</f>
        <v>1969.95</v>
      </c>
      <c r="E111" s="20">
        <f>D111-SUMIFS('GL Data'!$G:$G,'GL Data'!$B:$B,$A111)</f>
        <v>2014.75</v>
      </c>
      <c r="F111" s="20">
        <f>E111-SUMIFS('GL Data'!$H:$H,'GL Data'!$B:$B,$A111)</f>
        <v>1697.76</v>
      </c>
      <c r="G111" s="20">
        <f>F111-SUMIFS('GL Data'!$I:$I,'GL Data'!$B:$B,$A111)</f>
        <v>1257.9400000000001</v>
      </c>
      <c r="H111" s="20">
        <f>G111-SUMIFS('GL Data'!$J:$J,'GL Data'!$B:$B,$A111)</f>
        <v>1820.8499999999999</v>
      </c>
      <c r="I111" s="20">
        <f>H111-SUMIFS('GL Data'!$K:$K,'GL Data'!$B:$B,$A111)</f>
        <v>2370.2799999999997</v>
      </c>
      <c r="J111" s="20">
        <f>I111-SUMIFS('GL Data'!$L:$L,'GL Data'!$B:$B,$A111)</f>
        <v>1794.0799999999997</v>
      </c>
      <c r="K111" s="20">
        <f>J111-SUMIFS('GL Data'!$M:$M,'GL Data'!$B:$B,$A111)</f>
        <v>1434.1199999999997</v>
      </c>
      <c r="L111" s="20">
        <f>K111-SUMIFS('GL Data'!$N:$N,'GL Data'!$B:$B,$A111)</f>
        <v>1240.1699999999996</v>
      </c>
      <c r="M111" s="20">
        <f>L111-SUMIFS('GL Data'!$O:$O,'GL Data'!$B:$B,$A111)</f>
        <v>1072.2599999999995</v>
      </c>
      <c r="N111" s="20">
        <f>M111-SUMIFS('GL Data'!$P:$P,'GL Data'!$B:$B,$A111)</f>
        <v>1021.8399999999996</v>
      </c>
      <c r="O111" s="20">
        <f>N111-SUMIFS('GL Data'!$Q:$Q,'GL Data'!$B:$B,$A111)</f>
        <v>2059.0799999999995</v>
      </c>
      <c r="P111" s="20">
        <f>O111-SUMIFS('GL Data'!$R:$R,'GL Data'!$B:$B,$A111)</f>
        <v>1205.6799999999994</v>
      </c>
      <c r="Q111" s="20">
        <f>P111-SUMIFS('GL Data'!$S:$S,'GL Data'!$B:$B,$A111)</f>
        <v>976.14999999999941</v>
      </c>
      <c r="R111" s="20">
        <f>Q111-SUMIFS('GL Data'!$T:$T,'GL Data'!$B:$B,$A111)</f>
        <v>3116.619999999999</v>
      </c>
      <c r="S111" s="20">
        <f>R111-SUMIFS('GL Data'!$U:$U,'GL Data'!$B:$B,$A111)</f>
        <v>4340.6699999999992</v>
      </c>
      <c r="T111" s="20">
        <f>S111-SUMIFS('GL Data'!$V:$V,'GL Data'!$B:$B,$A111)</f>
        <v>1896.6599999999989</v>
      </c>
      <c r="U111" s="20">
        <f>T111-SUMIFS('GL Data'!$W:$W,'GL Data'!$B:$B,$A111)</f>
        <v>1486.329999999999</v>
      </c>
      <c r="V111" s="20">
        <f>U111-SUMIFS('GL Data'!$X:$X,'GL Data'!$B:$B,$A111)</f>
        <v>3980.349999999999</v>
      </c>
      <c r="W111" s="20">
        <f>V111-SUMIFS('GL Data'!$Y:$Y,'GL Data'!$B:$B,$A111)</f>
        <v>5259.5899999999992</v>
      </c>
      <c r="X111" s="20">
        <f>W111-SUMIFS('GL Data'!$Z:$Z,'GL Data'!$B:$B,$A111)</f>
        <v>703.35999999999967</v>
      </c>
      <c r="Y111" s="20">
        <f>X111-SUMIFS('GL Data'!$AA:$AA,'GL Data'!$B:$B,$A111)</f>
        <v>1078.1799999999996</v>
      </c>
      <c r="Z111" s="20">
        <f>Y111-SUMIFS('GL Data'!$AB:$AB,'GL Data'!$B:$B,$A111)</f>
        <v>1087.6299999999997</v>
      </c>
      <c r="AA111" s="20">
        <f>Z111-SUMIFS('GL Data'!$AC:$AC,'GL Data'!$B:$B,$A111)</f>
        <v>1132.3299999999997</v>
      </c>
    </row>
    <row r="112" ht="15" customHeight="1">
      <c r="A112" s="27" t="inlineStr">
        <is>
          <t>Amex Delta Credit Card</t>
        </is>
      </c>
      <c r="B112" s="20">
        <f>-SUMIFS('GL Data'!$D:$D,'GL Data'!$B:$B,$A112)</f>
        <v>14166</v>
      </c>
      <c r="C112" s="20">
        <f>B112-SUMIFS('GL Data'!$E:$E,'GL Data'!$B:$B,$A112)</f>
        <v>16599.239999999998</v>
      </c>
      <c r="D112" s="20">
        <f>C112-SUMIFS('GL Data'!$F:$F,'GL Data'!$B:$B,$A112)</f>
        <v>11108.609999999997</v>
      </c>
      <c r="E112" s="20">
        <f>D112-SUMIFS('GL Data'!$G:$G,'GL Data'!$B:$B,$A112)</f>
        <v>9046.3499999999967</v>
      </c>
      <c r="F112" s="20">
        <f>E112-SUMIFS('GL Data'!$H:$H,'GL Data'!$B:$B,$A112)</f>
        <v>7009.6499999999969</v>
      </c>
      <c r="G112" s="20">
        <f>F112-SUMIFS('GL Data'!$I:$I,'GL Data'!$B:$B,$A112)</f>
        <v>7235.819999999997</v>
      </c>
      <c r="H112" s="20">
        <f>G112-SUMIFS('GL Data'!$J:$J,'GL Data'!$B:$B,$A112)</f>
        <v>7294.029999999997</v>
      </c>
      <c r="I112" s="20">
        <f>H112-SUMIFS('GL Data'!$K:$K,'GL Data'!$B:$B,$A112)</f>
        <v>7471.4699999999966</v>
      </c>
      <c r="J112" s="20">
        <f>I112-SUMIFS('GL Data'!$L:$L,'GL Data'!$B:$B,$A112)</f>
        <v>10003.739999999996</v>
      </c>
      <c r="K112" s="20">
        <f>J112-SUMIFS('GL Data'!$M:$M,'GL Data'!$B:$B,$A112)</f>
        <v>9901.4999999999964</v>
      </c>
      <c r="L112" s="20">
        <f>K112-SUMIFS('GL Data'!$N:$N,'GL Data'!$B:$B,$A112)</f>
        <v>11915.859999999997</v>
      </c>
      <c r="M112" s="20">
        <f>L112-SUMIFS('GL Data'!$O:$O,'GL Data'!$B:$B,$A112)</f>
        <v>11836.189999999997</v>
      </c>
      <c r="N112" s="20">
        <f>M112-SUMIFS('GL Data'!$P:$P,'GL Data'!$B:$B,$A112)</f>
        <v>11825.879999999997</v>
      </c>
      <c r="O112" s="20">
        <f>N112-SUMIFS('GL Data'!$Q:$Q,'GL Data'!$B:$B,$A112)</f>
        <v>9072.8899999999976</v>
      </c>
      <c r="P112" s="20">
        <f>O112-SUMIFS('GL Data'!$R:$R,'GL Data'!$B:$B,$A112)</f>
        <v>8782.0799999999981</v>
      </c>
      <c r="Q112" s="20">
        <f>P112-SUMIFS('GL Data'!$S:$S,'GL Data'!$B:$B,$A112)</f>
        <v>4719.7599999999984</v>
      </c>
      <c r="R112" s="20">
        <f>Q112-SUMIFS('GL Data'!$T:$T,'GL Data'!$B:$B,$A112)</f>
        <v>1630.7699999999986</v>
      </c>
      <c r="S112" s="20">
        <f>R112-SUMIFS('GL Data'!$U:$U,'GL Data'!$B:$B,$A112)</f>
        <v>1414.7899999999986</v>
      </c>
      <c r="T112" s="20">
        <f>S112-SUMIFS('GL Data'!$V:$V,'GL Data'!$B:$B,$A112)</f>
        <v>1246.1399999999985</v>
      </c>
      <c r="U112" s="20">
        <f>T112-SUMIFS('GL Data'!$W:$W,'GL Data'!$B:$B,$A112)</f>
        <v>1882.1199999999985</v>
      </c>
      <c r="V112" s="20">
        <f>U112-SUMIFS('GL Data'!$X:$X,'GL Data'!$B:$B,$A112)</f>
        <v>4254.0799999999981</v>
      </c>
      <c r="W112" s="20">
        <f>V112-SUMIFS('GL Data'!$Y:$Y,'GL Data'!$B:$B,$A112)</f>
        <v>1313.3099999999981</v>
      </c>
      <c r="X112" s="20">
        <f>W112-SUMIFS('GL Data'!$Z:$Z,'GL Data'!$B:$B,$A112)</f>
        <v>1214.5299999999982</v>
      </c>
      <c r="Y112" s="20">
        <f>X112-SUMIFS('GL Data'!$AA:$AA,'GL Data'!$B:$B,$A112)</f>
        <v>1276.6099999999981</v>
      </c>
      <c r="Z112" s="20">
        <f>Y112-SUMIFS('GL Data'!$AB:$AB,'GL Data'!$B:$B,$A112)</f>
        <v>1132.8599999999981</v>
      </c>
      <c r="AA112" s="20">
        <f>Z112-SUMIFS('GL Data'!$AC:$AC,'GL Data'!$B:$B,$A112)</f>
        <v>2062.3699999999981</v>
      </c>
    </row>
    <row r="113" ht="15" customHeight="1">
      <c r="A113" s="27" t="inlineStr">
        <is>
          <t>Chase Credit Card 4 (1892)</t>
        </is>
      </c>
      <c r="B113" s="20">
        <f>-SUMIFS('GL Data'!$D:$D,'GL Data'!$B:$B,$A113)</f>
        <v>1889.3</v>
      </c>
      <c r="C113" s="20">
        <f>B113-SUMIFS('GL Data'!$E:$E,'GL Data'!$B:$B,$A113)</f>
        <v>1435.5699999999999</v>
      </c>
      <c r="D113" s="20">
        <f>C113-SUMIFS('GL Data'!$F:$F,'GL Data'!$B:$B,$A113)</f>
        <v>1510.74</v>
      </c>
      <c r="E113" s="20">
        <f>D113-SUMIFS('GL Data'!$G:$G,'GL Data'!$B:$B,$A113)</f>
        <v>1954.96</v>
      </c>
      <c r="F113" s="20">
        <f>E113-SUMIFS('GL Data'!$H:$H,'GL Data'!$B:$B,$A113)</f>
        <v>2442.8699999999999</v>
      </c>
      <c r="G113" s="20">
        <f>F113-SUMIFS('GL Data'!$I:$I,'GL Data'!$B:$B,$A113)</f>
        <v>5536.54</v>
      </c>
      <c r="H113" s="20">
        <f>G113-SUMIFS('GL Data'!$J:$J,'GL Data'!$B:$B,$A113)</f>
        <v>3403.1700000000001</v>
      </c>
      <c r="I113" s="20">
        <f>H113-SUMIFS('GL Data'!$K:$K,'GL Data'!$B:$B,$A113)</f>
        <v>5834.6900000000005</v>
      </c>
      <c r="J113" s="20">
        <f>I113-SUMIFS('GL Data'!$L:$L,'GL Data'!$B:$B,$A113)</f>
        <v>8197.1200000000008</v>
      </c>
      <c r="K113" s="20">
        <f>J113-SUMIFS('GL Data'!$M:$M,'GL Data'!$B:$B,$A113)</f>
        <v>8610.7000000000007</v>
      </c>
      <c r="L113" s="20">
        <f>K113-SUMIFS('GL Data'!$N:$N,'GL Data'!$B:$B,$A113)</f>
        <v>8579.1700000000001</v>
      </c>
      <c r="M113" s="20">
        <f>L113-SUMIFS('GL Data'!$O:$O,'GL Data'!$B:$B,$A113)</f>
        <v>6845.3600000000006</v>
      </c>
      <c r="N113" s="20">
        <f>M113-SUMIFS('GL Data'!$P:$P,'GL Data'!$B:$B,$A113)</f>
        <v>7568.0300000000007</v>
      </c>
      <c r="O113" s="20">
        <f>N113-SUMIFS('GL Data'!$Q:$Q,'GL Data'!$B:$B,$A113)</f>
        <v>7081.670000000001</v>
      </c>
      <c r="P113" s="20">
        <f>O113-SUMIFS('GL Data'!$R:$R,'GL Data'!$B:$B,$A113)</f>
        <v>5554.6600000000008</v>
      </c>
      <c r="Q113" s="20">
        <f>P113-SUMIFS('GL Data'!$S:$S,'GL Data'!$B:$B,$A113)</f>
        <v>802.30000000000109</v>
      </c>
      <c r="R113" s="20">
        <f>Q113-SUMIFS('GL Data'!$T:$T,'GL Data'!$B:$B,$A113)</f>
        <v>1451.7600000000011</v>
      </c>
      <c r="S113" s="20">
        <f>R113-SUMIFS('GL Data'!$U:$U,'GL Data'!$B:$B,$A113)</f>
        <v>2055.8900000000012</v>
      </c>
      <c r="T113" s="20">
        <f>S113-SUMIFS('GL Data'!$V:$V,'GL Data'!$B:$B,$A113)</f>
        <v>846.5700000000013</v>
      </c>
      <c r="U113" s="20">
        <f>T113-SUMIFS('GL Data'!$W:$W,'GL Data'!$B:$B,$A113)</f>
        <v>1810.3800000000012</v>
      </c>
      <c r="V113" s="20">
        <f>U113-SUMIFS('GL Data'!$X:$X,'GL Data'!$B:$B,$A113)</f>
        <v>881.71000000000129</v>
      </c>
      <c r="W113" s="20">
        <f>V113-SUMIFS('GL Data'!$Y:$Y,'GL Data'!$B:$B,$A113)</f>
        <v>1049.8500000000013</v>
      </c>
      <c r="X113" s="20">
        <f>W113-SUMIFS('GL Data'!$Z:$Z,'GL Data'!$B:$B,$A113)</f>
        <v>941.12000000000126</v>
      </c>
      <c r="Y113" s="20">
        <f>X113-SUMIFS('GL Data'!$AA:$AA,'GL Data'!$B:$B,$A113)</f>
        <v>1470.8100000000013</v>
      </c>
      <c r="Z113" s="20">
        <f>Y113-SUMIFS('GL Data'!$AB:$AB,'GL Data'!$B:$B,$A113)</f>
        <v>1090.6300000000012</v>
      </c>
      <c r="AA113" s="20">
        <f>Z113-SUMIFS('GL Data'!$AC:$AC,'GL Data'!$B:$B,$A113)</f>
        <v>1740.1300000000012</v>
      </c>
    </row>
    <row r="114" ht="15" customHeight="1">
      <c r="A114" s="27" t="inlineStr">
        <is>
          <t>Ohio Dept. of Taxation Payable</t>
        </is>
      </c>
      <c r="B114" s="20">
        <f>-SUMIFS('GL Data'!$D:$D,'GL Data'!$B:$B,$A114)</f>
        <v>0</v>
      </c>
      <c r="C114" s="20">
        <f>B114-SUMIFS('GL Data'!$E:$E,'GL Data'!$B:$B,$A114)</f>
        <v>0</v>
      </c>
      <c r="D114" s="20">
        <f>C114-SUMIFS('GL Data'!$F:$F,'GL Data'!$B:$B,$A114)</f>
        <v>0</v>
      </c>
      <c r="E114" s="20">
        <f>D114-SUMIFS('GL Data'!$G:$G,'GL Data'!$B:$B,$A114)</f>
        <v>0</v>
      </c>
      <c r="F114" s="20">
        <f>E114-SUMIFS('GL Data'!$H:$H,'GL Data'!$B:$B,$A114)</f>
        <v>0</v>
      </c>
      <c r="G114" s="20">
        <f>F114-SUMIFS('GL Data'!$I:$I,'GL Data'!$B:$B,$A114)</f>
        <v>0</v>
      </c>
      <c r="H114" s="20">
        <f>G114-SUMIFS('GL Data'!$J:$J,'GL Data'!$B:$B,$A114)</f>
        <v>0</v>
      </c>
      <c r="I114" s="20">
        <f>H114-SUMIFS('GL Data'!$K:$K,'GL Data'!$B:$B,$A114)</f>
        <v>0</v>
      </c>
      <c r="J114" s="20">
        <f>I114-SUMIFS('GL Data'!$L:$L,'GL Data'!$B:$B,$A114)</f>
        <v>0</v>
      </c>
      <c r="K114" s="20">
        <f>J114-SUMIFS('GL Data'!$M:$M,'GL Data'!$B:$B,$A114)</f>
        <v>0</v>
      </c>
      <c r="L114" s="20">
        <f>K114-SUMIFS('GL Data'!$N:$N,'GL Data'!$B:$B,$A114)</f>
        <v>0</v>
      </c>
      <c r="M114" s="20">
        <f>L114-SUMIFS('GL Data'!$O:$O,'GL Data'!$B:$B,$A114)</f>
        <v>0</v>
      </c>
      <c r="N114" s="20">
        <f>M114-SUMIFS('GL Data'!$P:$P,'GL Data'!$B:$B,$A114)</f>
        <v>0</v>
      </c>
      <c r="O114" s="20">
        <f>N114-SUMIFS('GL Data'!$Q:$Q,'GL Data'!$B:$B,$A114)</f>
        <v>0</v>
      </c>
      <c r="P114" s="20">
        <f>O114-SUMIFS('GL Data'!$R:$R,'GL Data'!$B:$B,$A114)</f>
        <v>0</v>
      </c>
      <c r="Q114" s="20">
        <f>P114-SUMIFS('GL Data'!$S:$S,'GL Data'!$B:$B,$A114)</f>
        <v>0</v>
      </c>
      <c r="R114" s="20">
        <f>Q114-SUMIFS('GL Data'!$T:$T,'GL Data'!$B:$B,$A114)</f>
        <v>0</v>
      </c>
      <c r="S114" s="20">
        <f>R114-SUMIFS('GL Data'!$U:$U,'GL Data'!$B:$B,$A114)</f>
        <v>0</v>
      </c>
      <c r="T114" s="20">
        <f>S114-SUMIFS('GL Data'!$V:$V,'GL Data'!$B:$B,$A114)</f>
        <v>0</v>
      </c>
      <c r="U114" s="20">
        <f>T114-SUMIFS('GL Data'!$W:$W,'GL Data'!$B:$B,$A114)</f>
        <v>0</v>
      </c>
      <c r="V114" s="20">
        <f>U114-SUMIFS('GL Data'!$X:$X,'GL Data'!$B:$B,$A114)</f>
        <v>0</v>
      </c>
      <c r="W114" s="20">
        <f>V114-SUMIFS('GL Data'!$Y:$Y,'GL Data'!$B:$B,$A114)</f>
        <v>0</v>
      </c>
      <c r="X114" s="20">
        <f>W114-SUMIFS('GL Data'!$Z:$Z,'GL Data'!$B:$B,$A114)</f>
        <v>0</v>
      </c>
      <c r="Y114" s="20">
        <f>X114-SUMIFS('GL Data'!$AA:$AA,'GL Data'!$B:$B,$A114)</f>
        <v>0</v>
      </c>
      <c r="Z114" s="20">
        <f>Y114-SUMIFS('GL Data'!$AB:$AB,'GL Data'!$B:$B,$A114)</f>
        <v>0</v>
      </c>
      <c r="AA114" s="20">
        <f>Z114-SUMIFS('GL Data'!$AC:$AC,'GL Data'!$B:$B,$A114)</f>
        <v>0</v>
      </c>
    </row>
    <row r="115" ht="15" customHeight="1">
      <c r="A115" s="27" t="inlineStr">
        <is>
          <t>Accrued Retirement</t>
        </is>
      </c>
      <c r="B115" s="20">
        <f>-SUMIFS('GL Data'!$D:$D,'GL Data'!$B:$B,$A115)</f>
        <v>1289.8800000000001</v>
      </c>
      <c r="C115" s="20">
        <f>B115-SUMIFS('GL Data'!$E:$E,'GL Data'!$B:$B,$A115)</f>
        <v>429.96000000000015</v>
      </c>
      <c r="D115" s="20">
        <f>C115-SUMIFS('GL Data'!$F:$F,'GL Data'!$B:$B,$A115)</f>
        <v>384.96000000000015</v>
      </c>
      <c r="E115" s="20">
        <f>D115-SUMIFS('GL Data'!$G:$G,'GL Data'!$B:$B,$A115)</f>
        <v>339.96000000000015</v>
      </c>
      <c r="F115" s="20">
        <f>E115-SUMIFS('GL Data'!$H:$H,'GL Data'!$B:$B,$A115)</f>
        <v>339.96000000000015</v>
      </c>
      <c r="G115" s="20">
        <f>F115-SUMIFS('GL Data'!$I:$I,'GL Data'!$B:$B,$A115)</f>
        <v>0</v>
      </c>
      <c r="H115" s="20">
        <f>G115-SUMIFS('GL Data'!$J:$J,'GL Data'!$B:$B,$A115)</f>
        <v>339.95999999999998</v>
      </c>
      <c r="I115" s="20">
        <f>H115-SUMIFS('GL Data'!$K:$K,'GL Data'!$B:$B,$A115)</f>
        <v>679.91999999999996</v>
      </c>
      <c r="J115" s="20">
        <f>I115-SUMIFS('GL Data'!$L:$L,'GL Data'!$B:$B,$A115)</f>
        <v>1019.8799999999999</v>
      </c>
      <c r="K115" s="20">
        <f>J115-SUMIFS('GL Data'!$M:$M,'GL Data'!$B:$B,$A115)</f>
        <v>1359.8399999999999</v>
      </c>
      <c r="L115" s="20">
        <f>K115-SUMIFS('GL Data'!$N:$N,'GL Data'!$B:$B,$A115)</f>
        <v>1699.8</v>
      </c>
      <c r="M115" s="20">
        <f>L115-SUMIFS('GL Data'!$O:$O,'GL Data'!$B:$B,$A115)</f>
        <v>2039.76</v>
      </c>
      <c r="N115" s="20">
        <f>M115-SUMIFS('GL Data'!$P:$P,'GL Data'!$B:$B,$A115)</f>
        <v>2379.7199999999998</v>
      </c>
      <c r="O115" s="20">
        <f>N115-SUMIFS('GL Data'!$Q:$Q,'GL Data'!$B:$B,$A115)</f>
        <v>0</v>
      </c>
      <c r="P115" s="20">
        <f>O115-SUMIFS('GL Data'!$R:$R,'GL Data'!$B:$B,$A115)</f>
        <v>0</v>
      </c>
      <c r="Q115" s="20">
        <f>P115-SUMIFS('GL Data'!$S:$S,'GL Data'!$B:$B,$A115)</f>
        <v>0</v>
      </c>
      <c r="R115" s="20">
        <f>Q115-SUMIFS('GL Data'!$T:$T,'GL Data'!$B:$B,$A115)</f>
        <v>339.95999999999998</v>
      </c>
      <c r="S115" s="20">
        <f>R115-SUMIFS('GL Data'!$U:$U,'GL Data'!$B:$B,$A115)</f>
        <v>0</v>
      </c>
      <c r="T115" s="20">
        <f>S115-SUMIFS('GL Data'!$V:$V,'GL Data'!$B:$B,$A115)</f>
        <v>0</v>
      </c>
      <c r="U115" s="20">
        <f>T115-SUMIFS('GL Data'!$W:$W,'GL Data'!$B:$B,$A115)</f>
        <v>0</v>
      </c>
      <c r="V115" s="20">
        <f>U115-SUMIFS('GL Data'!$X:$X,'GL Data'!$B:$B,$A115)</f>
        <v>0</v>
      </c>
      <c r="W115" s="20">
        <f>V115-SUMIFS('GL Data'!$Y:$Y,'GL Data'!$B:$B,$A115)</f>
        <v>0</v>
      </c>
      <c r="X115" s="20">
        <f>W115-SUMIFS('GL Data'!$Z:$Z,'GL Data'!$B:$B,$A115)</f>
        <v>0</v>
      </c>
      <c r="Y115" s="20">
        <f>X115-SUMIFS('GL Data'!$AA:$AA,'GL Data'!$B:$B,$A115)</f>
        <v>0</v>
      </c>
      <c r="Z115" s="20">
        <f>Y115-SUMIFS('GL Data'!$AB:$AB,'GL Data'!$B:$B,$A115)</f>
        <v>0</v>
      </c>
      <c r="AA115" s="20">
        <f>Z115-SUMIFS('GL Data'!$AC:$AC,'GL Data'!$B:$B,$A115)</f>
        <v>0</v>
      </c>
    </row>
    <row r="116" ht="15" customHeight="1">
      <c r="A116" s="27" t="inlineStr">
        <is>
          <t>Christmas Expenses Fund</t>
        </is>
      </c>
      <c r="B116" s="20">
        <f>-SUMIFS('GL Data'!$D:$D,'GL Data'!$B:$B,$A116)</f>
        <v>0</v>
      </c>
      <c r="C116" s="20">
        <f>B116-SUMIFS('GL Data'!$E:$E,'GL Data'!$B:$B,$A116)</f>
        <v>0</v>
      </c>
      <c r="D116" s="20">
        <f>C116-SUMIFS('GL Data'!$F:$F,'GL Data'!$B:$B,$A116)</f>
        <v>0</v>
      </c>
      <c r="E116" s="20">
        <f>D116-SUMIFS('GL Data'!$G:$G,'GL Data'!$B:$B,$A116)</f>
        <v>357.73000000000002</v>
      </c>
      <c r="F116" s="20">
        <f>E116-SUMIFS('GL Data'!$H:$H,'GL Data'!$B:$B,$A116)</f>
        <v>808.29999999999995</v>
      </c>
      <c r="G116" s="20">
        <f>F116-SUMIFS('GL Data'!$I:$I,'GL Data'!$B:$B,$A116)</f>
        <v>1242.1399999999999</v>
      </c>
      <c r="H116" s="20">
        <f>G116-SUMIFS('GL Data'!$J:$J,'GL Data'!$B:$B,$A116)</f>
        <v>1669.8399999999999</v>
      </c>
      <c r="I116" s="20">
        <f>H116-SUMIFS('GL Data'!$K:$K,'GL Data'!$B:$B,$A116)</f>
        <v>0</v>
      </c>
      <c r="J116" s="20">
        <f>I116-SUMIFS('GL Data'!$L:$L,'GL Data'!$B:$B,$A116)</f>
        <v>0</v>
      </c>
      <c r="K116" s="20">
        <f>J116-SUMIFS('GL Data'!$M:$M,'GL Data'!$B:$B,$A116)</f>
        <v>0</v>
      </c>
      <c r="L116" s="20">
        <f>K116-SUMIFS('GL Data'!$N:$N,'GL Data'!$B:$B,$A116)</f>
        <v>0</v>
      </c>
      <c r="M116" s="20">
        <f>L116-SUMIFS('GL Data'!$O:$O,'GL Data'!$B:$B,$A116)</f>
        <v>0</v>
      </c>
      <c r="N116" s="20">
        <f>M116-SUMIFS('GL Data'!$P:$P,'GL Data'!$B:$B,$A116)</f>
        <v>0</v>
      </c>
      <c r="O116" s="20">
        <f>N116-SUMIFS('GL Data'!$Q:$Q,'GL Data'!$B:$B,$A116)</f>
        <v>0</v>
      </c>
      <c r="P116" s="20">
        <f>O116-SUMIFS('GL Data'!$R:$R,'GL Data'!$B:$B,$A116)</f>
        <v>807.40999999999997</v>
      </c>
      <c r="Q116" s="20">
        <f>P116-SUMIFS('GL Data'!$S:$S,'GL Data'!$B:$B,$A116)</f>
        <v>807.40999999999997</v>
      </c>
      <c r="R116" s="20">
        <f>Q116-SUMIFS('GL Data'!$T:$T,'GL Data'!$B:$B,$A116)</f>
        <v>807.40999999999997</v>
      </c>
      <c r="S116" s="20">
        <f>R116-SUMIFS('GL Data'!$U:$U,'GL Data'!$B:$B,$A116)</f>
        <v>807.40999999999997</v>
      </c>
      <c r="T116" s="20">
        <f>S116-SUMIFS('GL Data'!$V:$V,'GL Data'!$B:$B,$A116)</f>
        <v>1491.5699999999999</v>
      </c>
      <c r="U116" s="20">
        <f>T116-SUMIFS('GL Data'!$W:$W,'GL Data'!$B:$B,$A116)</f>
        <v>0</v>
      </c>
      <c r="V116" s="20">
        <f>U116-SUMIFS('GL Data'!$X:$X,'GL Data'!$B:$B,$A116)</f>
        <v>0</v>
      </c>
      <c r="W116" s="20">
        <f>V116-SUMIFS('GL Data'!$Y:$Y,'GL Data'!$B:$B,$A116)</f>
        <v>0</v>
      </c>
      <c r="X116" s="20">
        <f>W116-SUMIFS('GL Data'!$Z:$Z,'GL Data'!$B:$B,$A116)</f>
        <v>0</v>
      </c>
      <c r="Y116" s="20">
        <f>X116-SUMIFS('GL Data'!$AA:$AA,'GL Data'!$B:$B,$A116)</f>
        <v>0</v>
      </c>
      <c r="Z116" s="20">
        <f>Y116-SUMIFS('GL Data'!$AB:$AB,'GL Data'!$B:$B,$A116)</f>
        <v>0</v>
      </c>
      <c r="AA116" s="20">
        <f>Z116-SUMIFS('GL Data'!$AC:$AC,'GL Data'!$B:$B,$A116)</f>
        <v>0</v>
      </c>
    </row>
    <row r="117" ht="15" customHeight="1">
      <c r="A117" s="27" t="inlineStr">
        <is>
          <t>One Bag, One Love Fund</t>
        </is>
      </c>
      <c r="B117" s="20">
        <f>-SUMIFS('GL Data'!$D:$D,'GL Data'!$B:$B,$A117)</f>
        <v>61.799999999999997</v>
      </c>
      <c r="C117" s="20">
        <f>B117-SUMIFS('GL Data'!$E:$E,'GL Data'!$B:$B,$A117)</f>
        <v>61.799999999999997</v>
      </c>
      <c r="D117" s="20">
        <f>C117-SUMIFS('GL Data'!$F:$F,'GL Data'!$B:$B,$A117)</f>
        <v>61.799999999999997</v>
      </c>
      <c r="E117" s="20">
        <f>D117-SUMIFS('GL Data'!$G:$G,'GL Data'!$B:$B,$A117)</f>
        <v>61.799999999999997</v>
      </c>
      <c r="F117" s="20">
        <f>E117-SUMIFS('GL Data'!$H:$H,'GL Data'!$B:$B,$A117)</f>
        <v>61.799999999999997</v>
      </c>
      <c r="G117" s="20">
        <f>F117-SUMIFS('GL Data'!$I:$I,'GL Data'!$B:$B,$A117)</f>
        <v>61.799999999999997</v>
      </c>
      <c r="H117" s="20">
        <f>G117-SUMIFS('GL Data'!$J:$J,'GL Data'!$B:$B,$A117)</f>
        <v>61.799999999999997</v>
      </c>
      <c r="I117" s="20">
        <f>H117-SUMIFS('GL Data'!$K:$K,'GL Data'!$B:$B,$A117)</f>
        <v>123.59999999999999</v>
      </c>
      <c r="J117" s="20">
        <f>I117-SUMIFS('GL Data'!$L:$L,'GL Data'!$B:$B,$A117)</f>
        <v>123.59999999999999</v>
      </c>
      <c r="K117" s="20">
        <f>J117-SUMIFS('GL Data'!$M:$M,'GL Data'!$B:$B,$A117)</f>
        <v>123.59999999999999</v>
      </c>
      <c r="L117" s="20">
        <f>K117-SUMIFS('GL Data'!$N:$N,'GL Data'!$B:$B,$A117)</f>
        <v>123.59999999999999</v>
      </c>
      <c r="M117" s="20">
        <f>L117-SUMIFS('GL Data'!$O:$O,'GL Data'!$B:$B,$A117)</f>
        <v>123.59999999999999</v>
      </c>
      <c r="N117" s="20">
        <f>M117-SUMIFS('GL Data'!$P:$P,'GL Data'!$B:$B,$A117)</f>
        <v>123.59999999999999</v>
      </c>
      <c r="O117" s="20">
        <f>N117-SUMIFS('GL Data'!$Q:$Q,'GL Data'!$B:$B,$A117)</f>
        <v>123.59999999999999</v>
      </c>
      <c r="P117" s="20">
        <f>O117-SUMIFS('GL Data'!$R:$R,'GL Data'!$B:$B,$A117)</f>
        <v>123.59999999999999</v>
      </c>
      <c r="Q117" s="20">
        <f>P117-SUMIFS('GL Data'!$S:$S,'GL Data'!$B:$B,$A117)</f>
        <v>123.59999999999999</v>
      </c>
      <c r="R117" s="20">
        <f>Q117-SUMIFS('GL Data'!$T:$T,'GL Data'!$B:$B,$A117)</f>
        <v>123.59999999999999</v>
      </c>
      <c r="S117" s="20">
        <f>R117-SUMIFS('GL Data'!$U:$U,'GL Data'!$B:$B,$A117)</f>
        <v>123.59999999999999</v>
      </c>
      <c r="T117" s="20">
        <f>S117-SUMIFS('GL Data'!$V:$V,'GL Data'!$B:$B,$A117)</f>
        <v>123.59999999999999</v>
      </c>
      <c r="U117" s="20">
        <f>T117-SUMIFS('GL Data'!$W:$W,'GL Data'!$B:$B,$A117)</f>
        <v>123.59999999999999</v>
      </c>
      <c r="V117" s="20">
        <f>U117-SUMIFS('GL Data'!$X:$X,'GL Data'!$B:$B,$A117)</f>
        <v>123.59999999999999</v>
      </c>
      <c r="W117" s="20">
        <f>V117-SUMIFS('GL Data'!$Y:$Y,'GL Data'!$B:$B,$A117)</f>
        <v>123.59999999999999</v>
      </c>
      <c r="X117" s="20">
        <f>W117-SUMIFS('GL Data'!$Z:$Z,'GL Data'!$B:$B,$A117)</f>
        <v>123.59999999999999</v>
      </c>
      <c r="Y117" s="20">
        <f>X117-SUMIFS('GL Data'!$AA:$AA,'GL Data'!$B:$B,$A117)</f>
        <v>123.59999999999999</v>
      </c>
      <c r="Z117" s="20">
        <f>Y117-SUMIFS('GL Data'!$AB:$AB,'GL Data'!$B:$B,$A117)</f>
        <v>123.59999999999999</v>
      </c>
      <c r="AA117" s="20">
        <f>Z117-SUMIFS('GL Data'!$AC:$AC,'GL Data'!$B:$B,$A117)</f>
        <v>123.59999999999999</v>
      </c>
    </row>
    <row r="118" ht="15" customHeight="1">
      <c r="A118" s="27" t="inlineStr">
        <is>
          <t>Teambuilding Fund</t>
        </is>
      </c>
      <c r="B118" s="20">
        <f>-SUMIFS('GL Data'!$D:$D,'GL Data'!$B:$B,$A118)</f>
        <v>0</v>
      </c>
      <c r="C118" s="20">
        <f>B118-SUMIFS('GL Data'!$E:$E,'GL Data'!$B:$B,$A118)</f>
        <v>0</v>
      </c>
      <c r="D118" s="20">
        <f>C118-SUMIFS('GL Data'!$F:$F,'GL Data'!$B:$B,$A118)</f>
        <v>0</v>
      </c>
      <c r="E118" s="20">
        <f>D118-SUMIFS('GL Data'!$G:$G,'GL Data'!$B:$B,$A118)</f>
        <v>0</v>
      </c>
      <c r="F118" s="20">
        <f>E118-SUMIFS('GL Data'!$H:$H,'GL Data'!$B:$B,$A118)</f>
        <v>0</v>
      </c>
      <c r="G118" s="20">
        <f>F118-SUMIFS('GL Data'!$I:$I,'GL Data'!$B:$B,$A118)</f>
        <v>0</v>
      </c>
      <c r="H118" s="20">
        <f>G118-SUMIFS('GL Data'!$J:$J,'GL Data'!$B:$B,$A118)</f>
        <v>0</v>
      </c>
      <c r="I118" s="20">
        <f>H118-SUMIFS('GL Data'!$K:$K,'GL Data'!$B:$B,$A118)</f>
        <v>0</v>
      </c>
      <c r="J118" s="20">
        <f>I118-SUMIFS('GL Data'!$L:$L,'GL Data'!$B:$B,$A118)</f>
        <v>515.21000000000004</v>
      </c>
      <c r="K118" s="20">
        <f>J118-SUMIFS('GL Data'!$M:$M,'GL Data'!$B:$B,$A118)</f>
        <v>1509.2800000000002</v>
      </c>
      <c r="L118" s="20">
        <f>K118-SUMIFS('GL Data'!$N:$N,'GL Data'!$B:$B,$A118)</f>
        <v>434.65000000000009</v>
      </c>
      <c r="M118" s="20">
        <f>L118-SUMIFS('GL Data'!$O:$O,'GL Data'!$B:$B,$A118)</f>
        <v>0</v>
      </c>
      <c r="N118" s="20">
        <f>M118-SUMIFS('GL Data'!$P:$P,'GL Data'!$B:$B,$A118)</f>
        <v>0</v>
      </c>
      <c r="O118" s="20">
        <f>N118-SUMIFS('GL Data'!$Q:$Q,'GL Data'!$B:$B,$A118)</f>
        <v>0</v>
      </c>
      <c r="P118" s="20">
        <f>O118-SUMIFS('GL Data'!$R:$R,'GL Data'!$B:$B,$A118)</f>
        <v>0</v>
      </c>
      <c r="Q118" s="20">
        <f>P118-SUMIFS('GL Data'!$S:$S,'GL Data'!$B:$B,$A118)</f>
        <v>0</v>
      </c>
      <c r="R118" s="20">
        <f>Q118-SUMIFS('GL Data'!$T:$T,'GL Data'!$B:$B,$A118)</f>
        <v>0</v>
      </c>
      <c r="S118" s="20">
        <f>R118-SUMIFS('GL Data'!$U:$U,'GL Data'!$B:$B,$A118)</f>
        <v>0</v>
      </c>
      <c r="T118" s="20">
        <f>S118-SUMIFS('GL Data'!$V:$V,'GL Data'!$B:$B,$A118)</f>
        <v>0</v>
      </c>
      <c r="U118" s="20">
        <f>T118-SUMIFS('GL Data'!$W:$W,'GL Data'!$B:$B,$A118)</f>
        <v>0</v>
      </c>
      <c r="V118" s="20">
        <f>U118-SUMIFS('GL Data'!$X:$X,'GL Data'!$B:$B,$A118)</f>
        <v>0</v>
      </c>
      <c r="W118" s="20">
        <f>V118-SUMIFS('GL Data'!$Y:$Y,'GL Data'!$B:$B,$A118)</f>
        <v>0</v>
      </c>
      <c r="X118" s="20">
        <f>W118-SUMIFS('GL Data'!$Z:$Z,'GL Data'!$B:$B,$A118)</f>
        <v>0</v>
      </c>
      <c r="Y118" s="20">
        <f>X118-SUMIFS('GL Data'!$AA:$AA,'GL Data'!$B:$B,$A118)</f>
        <v>0</v>
      </c>
      <c r="Z118" s="20">
        <f>Y118-SUMIFS('GL Data'!$AB:$AB,'GL Data'!$B:$B,$A118)</f>
        <v>0</v>
      </c>
      <c r="AA118" s="20">
        <f>Z118-SUMIFS('GL Data'!$AC:$AC,'GL Data'!$B:$B,$A118)</f>
        <v>0</v>
      </c>
    </row>
    <row r="119" ht="15" customHeight="1">
      <c r="A119" s="27" t="inlineStr">
        <is>
          <t>Line of Credit</t>
        </is>
      </c>
      <c r="B119" s="20">
        <f>-SUMIFS('GL Data'!$D:$D,'GL Data'!$B:$B,$A119)</f>
        <v>0</v>
      </c>
      <c r="C119" s="20">
        <f>B119-SUMIFS('GL Data'!$E:$E,'GL Data'!$B:$B,$A119)</f>
        <v>0</v>
      </c>
      <c r="D119" s="20">
        <f>C119-SUMIFS('GL Data'!$F:$F,'GL Data'!$B:$B,$A119)</f>
        <v>0</v>
      </c>
      <c r="E119" s="20">
        <f>D119-SUMIFS('GL Data'!$G:$G,'GL Data'!$B:$B,$A119)</f>
        <v>0</v>
      </c>
      <c r="F119" s="20">
        <f>E119-SUMIFS('GL Data'!$H:$H,'GL Data'!$B:$B,$A119)</f>
        <v>0</v>
      </c>
      <c r="G119" s="20">
        <f>F119-SUMIFS('GL Data'!$I:$I,'GL Data'!$B:$B,$A119)</f>
        <v>20000</v>
      </c>
      <c r="H119" s="20">
        <f>G119-SUMIFS('GL Data'!$J:$J,'GL Data'!$B:$B,$A119)</f>
        <v>20000</v>
      </c>
      <c r="I119" s="20">
        <f>H119-SUMIFS('GL Data'!$K:$K,'GL Data'!$B:$B,$A119)</f>
        <v>19133.330000000002</v>
      </c>
      <c r="J119" s="20">
        <f>I119-SUMIFS('GL Data'!$L:$L,'GL Data'!$B:$B,$A119)</f>
        <v>17366.660000000003</v>
      </c>
      <c r="K119" s="20">
        <f>J119-SUMIFS('GL Data'!$M:$M,'GL Data'!$B:$B,$A119)</f>
        <v>15349.990000000003</v>
      </c>
      <c r="L119" s="20">
        <f>K119-SUMIFS('GL Data'!$N:$N,'GL Data'!$B:$B,$A119)</f>
        <v>14033.320000000003</v>
      </c>
      <c r="M119" s="20">
        <f>L119-SUMIFS('GL Data'!$O:$O,'GL Data'!$B:$B,$A119)</f>
        <v>12116.650000000003</v>
      </c>
      <c r="N119" s="20">
        <f>M119-SUMIFS('GL Data'!$P:$P,'GL Data'!$B:$B,$A119)</f>
        <v>10199.980000000003</v>
      </c>
      <c r="O119" s="20">
        <f>N119-SUMIFS('GL Data'!$Q:$Q,'GL Data'!$B:$B,$A119)</f>
        <v>8433.3100000000031</v>
      </c>
      <c r="P119" s="20">
        <f>O119-SUMIFS('GL Data'!$R:$R,'GL Data'!$B:$B,$A119)</f>
        <v>6766.6400000000031</v>
      </c>
      <c r="Q119" s="20">
        <f>P119-SUMIFS('GL Data'!$S:$S,'GL Data'!$B:$B,$A119)</f>
        <v>5099.970000000003</v>
      </c>
      <c r="R119" s="20">
        <f>Q119-SUMIFS('GL Data'!$T:$T,'GL Data'!$B:$B,$A119)</f>
        <v>3433.3000000000029</v>
      </c>
      <c r="S119" s="20">
        <f>R119-SUMIFS('GL Data'!$U:$U,'GL Data'!$B:$B,$A119)</f>
        <v>1666.6300000000028</v>
      </c>
      <c r="T119" s="20">
        <f>S119-SUMIFS('GL Data'!$V:$V,'GL Data'!$B:$B,$A119)</f>
        <v>2.7284841053187847e-12</v>
      </c>
      <c r="U119" s="20">
        <f>T119-SUMIFS('GL Data'!$W:$W,'GL Data'!$B:$B,$A119)</f>
        <v>2.7284841053187847e-12</v>
      </c>
      <c r="V119" s="20">
        <f>U119-SUMIFS('GL Data'!$X:$X,'GL Data'!$B:$B,$A119)</f>
        <v>2.7284841053187847e-12</v>
      </c>
      <c r="W119" s="20">
        <f>V119-SUMIFS('GL Data'!$Y:$Y,'GL Data'!$B:$B,$A119)</f>
        <v>2.7284841053187847e-12</v>
      </c>
      <c r="X119" s="20">
        <f>W119-SUMIFS('GL Data'!$Z:$Z,'GL Data'!$B:$B,$A119)</f>
        <v>2.7284841053187847e-12</v>
      </c>
      <c r="Y119" s="20">
        <f>X119-SUMIFS('GL Data'!$AA:$AA,'GL Data'!$B:$B,$A119)</f>
        <v>2.7284841053187847e-12</v>
      </c>
      <c r="Z119" s="20">
        <f>Y119-SUMIFS('GL Data'!$AB:$AB,'GL Data'!$B:$B,$A119)</f>
        <v>2.7284841053187847e-12</v>
      </c>
      <c r="AA119" s="20">
        <f>Z119-SUMIFS('GL Data'!$AC:$AC,'GL Data'!$B:$B,$A119)</f>
        <v>2.7284841053187847e-12</v>
      </c>
    </row>
    <row r="120" ht="15" customHeight="1">
      <c r="A120" s="27" t="inlineStr">
        <is>
          <t>Line of Credit Draw (modeled)</t>
        </is>
      </c>
      <c r="B120" s="29" t="n">
        <v>0</v>
      </c>
      <c r="C120" s="29">
        <f>MAX(0,$B$255-C176)</f>
        <v>0</v>
      </c>
      <c r="D120" s="29">
        <f>MAX(0,$B$255-D176)</f>
        <v>0</v>
      </c>
      <c r="E120" s="29">
        <f>MAX(0,$B$255-E176)</f>
        <v>0</v>
      </c>
      <c r="F120" s="29">
        <f>MAX(0,$B$255-F176)</f>
        <v>0</v>
      </c>
      <c r="G120" s="29">
        <f>MAX(0,$B$255-G176)</f>
        <v>0</v>
      </c>
      <c r="H120" s="29">
        <f>MAX(0,$B$255-H176)</f>
        <v>0</v>
      </c>
      <c r="I120" s="29">
        <f>MAX(0,$B$255-I176)</f>
        <v>0</v>
      </c>
      <c r="J120" s="29">
        <f>MAX(0,$B$255-J176)</f>
        <v>0</v>
      </c>
      <c r="K120" s="29">
        <f>MAX(0,$B$255-K176)</f>
        <v>0</v>
      </c>
      <c r="L120" s="29">
        <f>MAX(0,$B$255-L176)</f>
        <v>0</v>
      </c>
      <c r="M120" s="29">
        <f>MAX(0,$B$255-M176)</f>
        <v>0</v>
      </c>
      <c r="N120" s="29">
        <f>MAX(0,$B$255-N176)</f>
        <v>0</v>
      </c>
      <c r="O120" s="29">
        <f>MAX(0,$B$255-O176)</f>
        <v>0</v>
      </c>
      <c r="P120" s="29">
        <f>MAX(0,$B$255-P176)</f>
        <v>0</v>
      </c>
      <c r="Q120" s="29">
        <f>MAX(0,$B$255-Q176)</f>
        <v>0</v>
      </c>
      <c r="R120" s="29">
        <f>MAX(0,$B$255-R176)</f>
        <v>0</v>
      </c>
      <c r="S120" s="29">
        <f>MAX(0,$B$255-S176)</f>
        <v>0</v>
      </c>
      <c r="T120" s="29">
        <f>MAX(0,$B$255-T176)</f>
        <v>0</v>
      </c>
      <c r="U120" s="29">
        <f>MAX(0,$B$255-U176)</f>
        <v>0</v>
      </c>
      <c r="V120" s="29">
        <f>MAX(0,$B$255-V176)</f>
        <v>0</v>
      </c>
      <c r="W120" s="29">
        <f>MAX(0,$B$255-W176)</f>
        <v>0</v>
      </c>
      <c r="X120" s="29">
        <f>MAX(0,$B$255-X176)</f>
        <v>0</v>
      </c>
      <c r="Y120" s="29">
        <f>MAX(0,$B$255-Y176)</f>
        <v>0</v>
      </c>
      <c r="Z120" s="29">
        <f>MAX(0,$B$255-Z176)</f>
        <v>0</v>
      </c>
      <c r="AA120" s="29">
        <f>MAX(0,$B$255-AA176)</f>
        <v>0</v>
      </c>
    </row>
    <row r="121" ht="15" customHeight="1">
      <c r="A121" s="28" t="inlineStr">
        <is>
          <t>Total Current Liabilities</t>
        </is>
      </c>
      <c r="B121" s="22">
        <f>SUM(B111:B120)</f>
        <v>18659.279999999999</v>
      </c>
      <c r="C121" s="22">
        <f>SUM(C111:C120)</f>
        <v>19919.779999999999</v>
      </c>
      <c r="D121" s="22">
        <f>SUM(D111:D120)</f>
        <v>15036.059999999999</v>
      </c>
      <c r="E121" s="22">
        <f>SUM(E111:E120)</f>
        <v>13775.549999999999</v>
      </c>
      <c r="F121" s="22">
        <f>SUM(F111:F120)</f>
        <v>12360.34</v>
      </c>
      <c r="G121" s="22">
        <f>SUM(G111:G120)</f>
        <v>35334.239999999998</v>
      </c>
      <c r="H121" s="22">
        <f>SUM(H111:H120)</f>
        <v>34589.650000000001</v>
      </c>
      <c r="I121" s="22">
        <f>SUM(I111:I120)</f>
        <v>35613.290000000001</v>
      </c>
      <c r="J121" s="22">
        <f>SUM(J111:J120)</f>
        <v>39020.290000000001</v>
      </c>
      <c r="K121" s="22">
        <f>SUM(K111:K120)</f>
        <v>38289.029999999999</v>
      </c>
      <c r="L121" s="22">
        <f>SUM(L111:L120)</f>
        <v>38026.57</v>
      </c>
      <c r="M121" s="22">
        <f>SUM(M111:M120)</f>
        <v>34033.82</v>
      </c>
      <c r="N121" s="22">
        <f>SUM(N111:N120)</f>
        <v>33119.050000000003</v>
      </c>
      <c r="O121" s="22">
        <f>SUM(O111:O120)</f>
        <v>26770.549999999999</v>
      </c>
      <c r="P121" s="22">
        <f>SUM(P111:P120)</f>
        <v>23240.07</v>
      </c>
      <c r="Q121" s="22">
        <f>SUM(Q111:Q120)</f>
        <v>12529.190000000001</v>
      </c>
      <c r="R121" s="22">
        <f>SUM(R111:R120)</f>
        <v>10903.42</v>
      </c>
      <c r="S121" s="22">
        <f>SUM(S111:S120)</f>
        <v>10408.99</v>
      </c>
      <c r="T121" s="22">
        <f>SUM(T111:T120)</f>
        <v>5604.54</v>
      </c>
      <c r="U121" s="22">
        <f>SUM(U111:U120)</f>
        <v>5302.4300000000003</v>
      </c>
      <c r="V121" s="22">
        <f>SUM(V111:V120)</f>
        <v>9239.7399999999998</v>
      </c>
      <c r="W121" s="22">
        <f>SUM(W111:W120)</f>
        <v>7746.3500000000004</v>
      </c>
      <c r="X121" s="22">
        <f>SUM(X111:X120)</f>
        <v>2982.6100000000001</v>
      </c>
      <c r="Y121" s="22">
        <f>SUM(Y111:Y120)</f>
        <v>3949.1999999999998</v>
      </c>
      <c r="Z121" s="22">
        <f>SUM(Z111:Z120)</f>
        <v>3434.7199999999998</v>
      </c>
      <c r="AA121" s="22">
        <f>SUM(AA111:AA120)</f>
        <v>5058.4300000000003</v>
      </c>
    </row>
    <row r="123" ht="15" customHeight="1">
      <c r="A123" s="26" t="inlineStr">
        <is>
          <t>Non-Current Liabilities</t>
        </is>
      </c>
    </row>
    <row r="124" ht="15" customHeight="1">
      <c r="A124" s="27" t="inlineStr">
        <is>
          <t>Loan Payable</t>
        </is>
      </c>
      <c r="B124" s="20">
        <f>-SUMIFS('GL Data'!$D:$D,'GL Data'!$B:$B,$A124)</f>
        <v>5559.1000000000004</v>
      </c>
      <c r="C124" s="20">
        <f>B124-SUMIFS('GL Data'!$E:$E,'GL Data'!$B:$B,$A124)</f>
        <v>2835.4900000000002</v>
      </c>
      <c r="D124" s="20">
        <f>C124-SUMIFS('GL Data'!$F:$F,'GL Data'!$B:$B,$A124)</f>
        <v>1151.0800000000002</v>
      </c>
      <c r="E124" s="20">
        <f>D124-SUMIFS('GL Data'!$G:$G,'GL Data'!$B:$B,$A124)</f>
        <v>0</v>
      </c>
      <c r="F124" s="20">
        <f>E124-SUMIFS('GL Data'!$H:$H,'GL Data'!$B:$B,$A124)</f>
        <v>0</v>
      </c>
      <c r="G124" s="20">
        <f>F124-SUMIFS('GL Data'!$I:$I,'GL Data'!$B:$B,$A124)</f>
        <v>0</v>
      </c>
      <c r="H124" s="20">
        <f>G124-SUMIFS('GL Data'!$J:$J,'GL Data'!$B:$B,$A124)</f>
        <v>0</v>
      </c>
      <c r="I124" s="20">
        <f>H124-SUMIFS('GL Data'!$K:$K,'GL Data'!$B:$B,$A124)</f>
        <v>0</v>
      </c>
      <c r="J124" s="20">
        <f>I124-SUMIFS('GL Data'!$L:$L,'GL Data'!$B:$B,$A124)</f>
        <v>0</v>
      </c>
      <c r="K124" s="20">
        <f>J124-SUMIFS('GL Data'!$M:$M,'GL Data'!$B:$B,$A124)</f>
        <v>0</v>
      </c>
      <c r="L124" s="20">
        <f>K124-SUMIFS('GL Data'!$N:$N,'GL Data'!$B:$B,$A124)</f>
        <v>0</v>
      </c>
      <c r="M124" s="20">
        <f>L124-SUMIFS('GL Data'!$O:$O,'GL Data'!$B:$B,$A124)</f>
        <v>0</v>
      </c>
      <c r="N124" s="20">
        <f>M124-SUMIFS('GL Data'!$P:$P,'GL Data'!$B:$B,$A124)</f>
        <v>0</v>
      </c>
      <c r="O124" s="20">
        <f>N124-SUMIFS('GL Data'!$Q:$Q,'GL Data'!$B:$B,$A124)</f>
        <v>0</v>
      </c>
      <c r="P124" s="20">
        <f>O124-SUMIFS('GL Data'!$R:$R,'GL Data'!$B:$B,$A124)</f>
        <v>0</v>
      </c>
      <c r="Q124" s="20">
        <f>P124-SUMIFS('GL Data'!$S:$S,'GL Data'!$B:$B,$A124)</f>
        <v>0</v>
      </c>
      <c r="R124" s="20">
        <f>Q124-SUMIFS('GL Data'!$T:$T,'GL Data'!$B:$B,$A124)</f>
        <v>0</v>
      </c>
      <c r="S124" s="20">
        <f>R124-SUMIFS('GL Data'!$U:$U,'GL Data'!$B:$B,$A124)</f>
        <v>0</v>
      </c>
      <c r="T124" s="20">
        <f>S124-SUMIFS('GL Data'!$V:$V,'GL Data'!$B:$B,$A124)</f>
        <v>0</v>
      </c>
      <c r="U124" s="20">
        <f>T124-SUMIFS('GL Data'!$W:$W,'GL Data'!$B:$B,$A124)</f>
        <v>0</v>
      </c>
      <c r="V124" s="20">
        <f>U124-SUMIFS('GL Data'!$X:$X,'GL Data'!$B:$B,$A124)</f>
        <v>0</v>
      </c>
      <c r="W124" s="20">
        <f>V124-SUMIFS('GL Data'!$Y:$Y,'GL Data'!$B:$B,$A124)</f>
        <v>0</v>
      </c>
      <c r="X124" s="20">
        <f>W124-SUMIFS('GL Data'!$Z:$Z,'GL Data'!$B:$B,$A124)</f>
        <v>0</v>
      </c>
      <c r="Y124" s="20">
        <f>X124-SUMIFS('GL Data'!$AA:$AA,'GL Data'!$B:$B,$A124)</f>
        <v>0</v>
      </c>
      <c r="Z124" s="20">
        <f>Y124-SUMIFS('GL Data'!$AB:$AB,'GL Data'!$B:$B,$A124)</f>
        <v>0</v>
      </c>
      <c r="AA124" s="20">
        <f>Z124-SUMIFS('GL Data'!$AC:$AC,'GL Data'!$B:$B,$A124)</f>
        <v>0</v>
      </c>
    </row>
    <row r="125" ht="15" customHeight="1">
      <c r="A125" s="28" t="inlineStr">
        <is>
          <t>Total Non-Current Liabilities</t>
        </is>
      </c>
      <c r="B125" s="22">
        <f>SUM(B124:B124)</f>
        <v>5559.1000000000004</v>
      </c>
      <c r="C125" s="22">
        <f>SUM(C124:C124)</f>
        <v>2835.4900000000002</v>
      </c>
      <c r="D125" s="22">
        <f>SUM(D124:D124)</f>
        <v>1151.0800000000002</v>
      </c>
      <c r="E125" s="22">
        <f>SUM(E124:E124)</f>
        <v>0</v>
      </c>
      <c r="F125" s="22">
        <f>SUM(F124:F124)</f>
        <v>0</v>
      </c>
      <c r="G125" s="22">
        <f>SUM(G124:G124)</f>
        <v>0</v>
      </c>
      <c r="H125" s="22">
        <f>SUM(H124:H124)</f>
        <v>0</v>
      </c>
      <c r="I125" s="22">
        <f>SUM(I124:I124)</f>
        <v>0</v>
      </c>
      <c r="J125" s="22">
        <f>SUM(J124:J124)</f>
        <v>0</v>
      </c>
      <c r="K125" s="22">
        <f>SUM(K124:K124)</f>
        <v>0</v>
      </c>
      <c r="L125" s="22">
        <f>SUM(L124:L124)</f>
        <v>0</v>
      </c>
      <c r="M125" s="22">
        <f>SUM(M124:M124)</f>
        <v>0</v>
      </c>
      <c r="N125" s="22">
        <f>SUM(N124:N124)</f>
        <v>0</v>
      </c>
      <c r="O125" s="22">
        <f>SUM(O124:O124)</f>
        <v>0</v>
      </c>
      <c r="P125" s="22">
        <f>SUM(P124:P124)</f>
        <v>0</v>
      </c>
      <c r="Q125" s="22">
        <f>SUM(Q124:Q124)</f>
        <v>0</v>
      </c>
      <c r="R125" s="22">
        <f>SUM(R124:R124)</f>
        <v>0</v>
      </c>
      <c r="S125" s="22">
        <f>SUM(S124:S124)</f>
        <v>0</v>
      </c>
      <c r="T125" s="22">
        <f>SUM(T124:T124)</f>
        <v>0</v>
      </c>
      <c r="U125" s="22">
        <f>SUM(U124:U124)</f>
        <v>0</v>
      </c>
      <c r="V125" s="22">
        <f>SUM(V124:V124)</f>
        <v>0</v>
      </c>
      <c r="W125" s="22">
        <f>SUM(W124:W124)</f>
        <v>0</v>
      </c>
      <c r="X125" s="22">
        <f>SUM(X124:X124)</f>
        <v>0</v>
      </c>
      <c r="Y125" s="22">
        <f>SUM(Y124:Y124)</f>
        <v>0</v>
      </c>
      <c r="Z125" s="22">
        <f>SUM(Z124:Z124)</f>
        <v>0</v>
      </c>
      <c r="AA125" s="22">
        <f>SUM(AA124:AA124)</f>
        <v>0</v>
      </c>
    </row>
    <row r="126" ht="15" customHeight="1">
      <c r="A126" s="21" t="inlineStr">
        <is>
          <t>Total Liabilities</t>
        </is>
      </c>
      <c r="B126" s="22">
        <f>B121+B125</f>
        <v>24218.379999999997</v>
      </c>
      <c r="C126" s="22">
        <f>C121+C125</f>
        <v>22755.27</v>
      </c>
      <c r="D126" s="22">
        <f>D121+D125</f>
        <v>16187.139999999999</v>
      </c>
      <c r="E126" s="22">
        <f>E121+E125</f>
        <v>13775.549999999999</v>
      </c>
      <c r="F126" s="22">
        <f>F121+F125</f>
        <v>12360.34</v>
      </c>
      <c r="G126" s="22">
        <f>G121+G125</f>
        <v>35334.239999999998</v>
      </c>
      <c r="H126" s="22">
        <f>H121+H125</f>
        <v>34589.650000000001</v>
      </c>
      <c r="I126" s="22">
        <f>I121+I125</f>
        <v>35613.290000000001</v>
      </c>
      <c r="J126" s="22">
        <f>J121+J125</f>
        <v>39020.290000000001</v>
      </c>
      <c r="K126" s="22">
        <f>K121+K125</f>
        <v>38289.029999999999</v>
      </c>
      <c r="L126" s="22">
        <f>L121+L125</f>
        <v>38026.57</v>
      </c>
      <c r="M126" s="22">
        <f>M121+M125</f>
        <v>34033.82</v>
      </c>
      <c r="N126" s="22">
        <f>N121+N125</f>
        <v>33119.050000000003</v>
      </c>
      <c r="O126" s="22">
        <f>O121+O125</f>
        <v>26770.549999999999</v>
      </c>
      <c r="P126" s="22">
        <f>P121+P125</f>
        <v>23240.07</v>
      </c>
      <c r="Q126" s="22">
        <f>Q121+Q125</f>
        <v>12529.190000000001</v>
      </c>
      <c r="R126" s="22">
        <f>R121+R125</f>
        <v>10903.42</v>
      </c>
      <c r="S126" s="22">
        <f>S121+S125</f>
        <v>10408.99</v>
      </c>
      <c r="T126" s="22">
        <f>T121+T125</f>
        <v>5604.54</v>
      </c>
      <c r="U126" s="22">
        <f>U121+U125</f>
        <v>5302.4300000000003</v>
      </c>
      <c r="V126" s="22">
        <f>V121+V125</f>
        <v>9239.7399999999998</v>
      </c>
      <c r="W126" s="22">
        <f>W121+W125</f>
        <v>7746.3500000000004</v>
      </c>
      <c r="X126" s="22">
        <f>X121+X125</f>
        <v>2982.6100000000001</v>
      </c>
      <c r="Y126" s="22">
        <f>Y121+Y125</f>
        <v>3949.1999999999998</v>
      </c>
      <c r="Z126" s="22">
        <f>Z121+Z125</f>
        <v>3434.7199999999998</v>
      </c>
      <c r="AA126" s="22">
        <f>AA121+AA125</f>
        <v>5058.4300000000003</v>
      </c>
    </row>
    <row r="128" ht="15" customHeight="1">
      <c r="A128" s="26" t="inlineStr">
        <is>
          <t>Equity</t>
        </is>
      </c>
    </row>
    <row r="129" ht="15" customHeight="1">
      <c r="A129" s="27" t="inlineStr">
        <is>
          <t>Opening Equity at 5/31/2024</t>
        </is>
      </c>
      <c r="B129" s="20">
        <f>'GL Data'!$D$84</f>
        <v>35592.739999999998</v>
      </c>
      <c r="C129" s="20">
        <f>$B$129</f>
        <v>35592.739999999998</v>
      </c>
      <c r="D129" s="20">
        <f>$B$129</f>
        <v>35592.739999999998</v>
      </c>
      <c r="E129" s="20">
        <f>$B$129</f>
        <v>35592.739999999998</v>
      </c>
      <c r="F129" s="20">
        <f>$B$129</f>
        <v>35592.739999999998</v>
      </c>
      <c r="G129" s="20">
        <f>$B$129</f>
        <v>35592.739999999998</v>
      </c>
      <c r="H129" s="20">
        <f>$B$129</f>
        <v>35592.739999999998</v>
      </c>
      <c r="I129" s="20">
        <f>$B$129</f>
        <v>35592.739999999998</v>
      </c>
      <c r="J129" s="20">
        <f>$B$129</f>
        <v>35592.739999999998</v>
      </c>
      <c r="K129" s="20">
        <f>$B$129</f>
        <v>35592.739999999998</v>
      </c>
      <c r="L129" s="20">
        <f>$B$129</f>
        <v>35592.739999999998</v>
      </c>
      <c r="M129" s="20">
        <f>$B$129</f>
        <v>35592.739999999998</v>
      </c>
      <c r="N129" s="20">
        <f>$B$129</f>
        <v>35592.739999999998</v>
      </c>
      <c r="O129" s="20">
        <f>$B$129</f>
        <v>35592.739999999998</v>
      </c>
      <c r="P129" s="20">
        <f>$B$129</f>
        <v>35592.739999999998</v>
      </c>
      <c r="Q129" s="20">
        <f>$B$129</f>
        <v>35592.739999999998</v>
      </c>
      <c r="R129" s="20">
        <f>$B$129</f>
        <v>35592.739999999998</v>
      </c>
      <c r="S129" s="20">
        <f>$B$129</f>
        <v>35592.739999999998</v>
      </c>
      <c r="T129" s="20">
        <f>$B$129</f>
        <v>35592.739999999998</v>
      </c>
      <c r="U129" s="20">
        <f>$B$129</f>
        <v>35592.739999999998</v>
      </c>
      <c r="V129" s="20">
        <f>$B$129</f>
        <v>35592.739999999998</v>
      </c>
      <c r="W129" s="20">
        <f>$B$129</f>
        <v>35592.739999999998</v>
      </c>
      <c r="X129" s="20">
        <f>$B$129</f>
        <v>35592.739999999998</v>
      </c>
      <c r="Y129" s="20">
        <f>$B$129</f>
        <v>35592.739999999998</v>
      </c>
      <c r="Z129" s="20">
        <f>$B$129</f>
        <v>35592.739999999998</v>
      </c>
      <c r="AA129" s="20">
        <f>$B$129</f>
        <v>35592.739999999998</v>
      </c>
    </row>
    <row r="130" ht="15" customHeight="1">
      <c r="A130" s="27" t="inlineStr">
        <is>
          <t>Retained Earnings</t>
        </is>
      </c>
      <c r="B130" s="20">
        <f>-SUMIFS('GL Data'!$D:$D,'GL Data'!$B:$B,$A130)</f>
        <v>-2784.27</v>
      </c>
      <c r="C130" s="20">
        <f>B130-SUMIFS('GL Data'!$E:$E,'GL Data'!$B:$B,$A130)</f>
        <v>-2784.27</v>
      </c>
      <c r="D130" s="20">
        <f>C130-SUMIFS('GL Data'!$F:$F,'GL Data'!$B:$B,$A130)</f>
        <v>-2784.27</v>
      </c>
      <c r="E130" s="20">
        <f>D130-SUMIFS('GL Data'!$G:$G,'GL Data'!$B:$B,$A130)</f>
        <v>-2784.27</v>
      </c>
      <c r="F130" s="20">
        <f>E130-SUMIFS('GL Data'!$H:$H,'GL Data'!$B:$B,$A130)</f>
        <v>-2784.27</v>
      </c>
      <c r="G130" s="20">
        <f>F130-SUMIFS('GL Data'!$I:$I,'GL Data'!$B:$B,$A130)</f>
        <v>-2784.27</v>
      </c>
      <c r="H130" s="20">
        <f>G130-SUMIFS('GL Data'!$J:$J,'GL Data'!$B:$B,$A130)</f>
        <v>-2784.27</v>
      </c>
      <c r="I130" s="20">
        <f>H130-SUMIFS('GL Data'!$K:$K,'GL Data'!$B:$B,$A130)</f>
        <v>-2784.27</v>
      </c>
      <c r="J130" s="20">
        <f>I130-SUMIFS('GL Data'!$L:$L,'GL Data'!$B:$B,$A130)</f>
        <v>-54270.099999999999</v>
      </c>
      <c r="K130" s="20">
        <f>J130-SUMIFS('GL Data'!$M:$M,'GL Data'!$B:$B,$A130)</f>
        <v>-54270.099999999999</v>
      </c>
      <c r="L130" s="20">
        <f>K130-SUMIFS('GL Data'!$N:$N,'GL Data'!$B:$B,$A130)</f>
        <v>-54270.099999999999</v>
      </c>
      <c r="M130" s="20">
        <f>L130-SUMIFS('GL Data'!$O:$O,'GL Data'!$B:$B,$A130)</f>
        <v>-54270.099999999999</v>
      </c>
      <c r="N130" s="20">
        <f>M130-SUMIFS('GL Data'!$P:$P,'GL Data'!$B:$B,$A130)</f>
        <v>-54270.099999999999</v>
      </c>
      <c r="O130" s="20">
        <f>N130-SUMIFS('GL Data'!$Q:$Q,'GL Data'!$B:$B,$A130)</f>
        <v>-54270.099999999999</v>
      </c>
      <c r="P130" s="20">
        <f>O130-SUMIFS('GL Data'!$R:$R,'GL Data'!$B:$B,$A130)</f>
        <v>-54270.099999999999</v>
      </c>
      <c r="Q130" s="20">
        <f>P130-SUMIFS('GL Data'!$S:$S,'GL Data'!$B:$B,$A130)</f>
        <v>-54270.099999999999</v>
      </c>
      <c r="R130" s="20">
        <f>Q130-SUMIFS('GL Data'!$T:$T,'GL Data'!$B:$B,$A130)</f>
        <v>-54270.099999999999</v>
      </c>
      <c r="S130" s="20">
        <f>R130-SUMIFS('GL Data'!$U:$U,'GL Data'!$B:$B,$A130)</f>
        <v>-54270.099999999999</v>
      </c>
      <c r="T130" s="20">
        <f>S130-SUMIFS('GL Data'!$V:$V,'GL Data'!$B:$B,$A130)</f>
        <v>-54270.099999999999</v>
      </c>
      <c r="U130" s="20">
        <f>T130-SUMIFS('GL Data'!$W:$W,'GL Data'!$B:$B,$A130)</f>
        <v>-54270.099999999999</v>
      </c>
      <c r="V130" s="20">
        <f>U130-SUMIFS('GL Data'!$X:$X,'GL Data'!$B:$B,$A130)</f>
        <v>-128035.20999999999</v>
      </c>
      <c r="W130" s="20">
        <f>V130-SUMIFS('GL Data'!$Y:$Y,'GL Data'!$B:$B,$A130)</f>
        <v>-128035.20999999999</v>
      </c>
      <c r="X130" s="20">
        <f>W130-SUMIFS('GL Data'!$Z:$Z,'GL Data'!$B:$B,$A130)</f>
        <v>-128035.20999999999</v>
      </c>
      <c r="Y130" s="20">
        <f>X130-SUMIFS('GL Data'!$AA:$AA,'GL Data'!$B:$B,$A130)</f>
        <v>-128035.20999999999</v>
      </c>
      <c r="Z130" s="20">
        <f>Y130-SUMIFS('GL Data'!$AB:$AB,'GL Data'!$B:$B,$A130)</f>
        <v>-128035.20999999999</v>
      </c>
      <c r="AA130" s="20">
        <f>Z130-SUMIFS('GL Data'!$AC:$AC,'GL Data'!$B:$B,$A130)</f>
        <v>-128035.20999999999</v>
      </c>
    </row>
    <row r="131" ht="15" customHeight="1">
      <c r="A131" s="27" t="inlineStr">
        <is>
          <t>Owner's Pay &amp; Personal Expenses</t>
        </is>
      </c>
      <c r="B131" s="20">
        <f>-SUMIFS('GL Data'!$D:$D,'GL Data'!$B:$B,$A131)</f>
        <v>-26268.43</v>
      </c>
      <c r="C131" s="20">
        <f>B131-SUMIFS('GL Data'!$E:$E,'GL Data'!$B:$B,$A131)</f>
        <v>-31218.48</v>
      </c>
      <c r="D131" s="20">
        <f>C131-SUMIFS('GL Data'!$F:$F,'GL Data'!$B:$B,$A131)</f>
        <v>-35990.809999999998</v>
      </c>
      <c r="E131" s="20">
        <f>D131-SUMIFS('GL Data'!$G:$G,'GL Data'!$B:$B,$A131)</f>
        <v>-41139.089999999997</v>
      </c>
      <c r="F131" s="20">
        <f>E131-SUMIFS('GL Data'!$H:$H,'GL Data'!$B:$B,$A131)</f>
        <v>-46012.159999999996</v>
      </c>
      <c r="G131" s="20">
        <f>F131-SUMIFS('GL Data'!$I:$I,'GL Data'!$B:$B,$A131)</f>
        <v>-50905.179999999993</v>
      </c>
      <c r="H131" s="20">
        <f>G131-SUMIFS('GL Data'!$J:$J,'GL Data'!$B:$B,$A131)</f>
        <v>-58756.189999999995</v>
      </c>
      <c r="I131" s="20">
        <f>H131-SUMIFS('GL Data'!$K:$K,'GL Data'!$B:$B,$A131)</f>
        <v>-51485.829999999994</v>
      </c>
      <c r="J131" s="20">
        <f>I131-SUMIFS('GL Data'!$L:$L,'GL Data'!$B:$B,$A131)</f>
        <v>-945.48999999999796</v>
      </c>
      <c r="K131" s="20">
        <f>J131-SUMIFS('GL Data'!$M:$M,'GL Data'!$B:$B,$A131)</f>
        <v>-3471.159999999998</v>
      </c>
      <c r="L131" s="20">
        <f>K131-SUMIFS('GL Data'!$N:$N,'GL Data'!$B:$B,$A131)</f>
        <v>-7124.2799999999979</v>
      </c>
      <c r="M131" s="20">
        <f>L131-SUMIFS('GL Data'!$O:$O,'GL Data'!$B:$B,$A131)</f>
        <v>-15562.049999999999</v>
      </c>
      <c r="N131" s="20">
        <f>M131-SUMIFS('GL Data'!$P:$P,'GL Data'!$B:$B,$A131)</f>
        <v>-20324.629999999997</v>
      </c>
      <c r="O131" s="20">
        <f>N131-SUMIFS('GL Data'!$Q:$Q,'GL Data'!$B:$B,$A131)</f>
        <v>-27392.009999999998</v>
      </c>
      <c r="P131" s="20">
        <f>O131-SUMIFS('GL Data'!$R:$R,'GL Data'!$B:$B,$A131)</f>
        <v>-34305.580000000002</v>
      </c>
      <c r="Q131" s="20">
        <f>P131-SUMIFS('GL Data'!$S:$S,'GL Data'!$B:$B,$A131)</f>
        <v>-42759.230000000003</v>
      </c>
      <c r="R131" s="20">
        <f>Q131-SUMIFS('GL Data'!$T:$T,'GL Data'!$B:$B,$A131)</f>
        <v>-48587.050000000003</v>
      </c>
      <c r="S131" s="20">
        <f>R131-SUMIFS('GL Data'!$U:$U,'GL Data'!$B:$B,$A131)</f>
        <v>-56863.650000000001</v>
      </c>
      <c r="T131" s="20">
        <f>S131-SUMIFS('GL Data'!$V:$V,'GL Data'!$B:$B,$A131)</f>
        <v>-71392.260000000009</v>
      </c>
      <c r="U131" s="20">
        <f>T131-SUMIFS('GL Data'!$W:$W,'GL Data'!$B:$B,$A131)</f>
        <v>-73765.110000000015</v>
      </c>
      <c r="V131" s="20">
        <f>U131-SUMIFS('GL Data'!$X:$X,'GL Data'!$B:$B,$A131)</f>
        <v>-4727.2800000000134</v>
      </c>
      <c r="W131" s="20">
        <f>V131-SUMIFS('GL Data'!$Y:$Y,'GL Data'!$B:$B,$A131)</f>
        <v>-13228.390000000014</v>
      </c>
      <c r="X131" s="20">
        <f>W131-SUMIFS('GL Data'!$Z:$Z,'GL Data'!$B:$B,$A131)</f>
        <v>-21741.330000000016</v>
      </c>
      <c r="Y131" s="20">
        <f>X131-SUMIFS('GL Data'!$AA:$AA,'GL Data'!$B:$B,$A131)</f>
        <v>-26827.220000000016</v>
      </c>
      <c r="Z131" s="20">
        <f>Y131-SUMIFS('GL Data'!$AB:$AB,'GL Data'!$B:$B,$A131)</f>
        <v>-36303.620000000017</v>
      </c>
      <c r="AA131" s="20">
        <f>Z131-SUMIFS('GL Data'!$AC:$AC,'GL Data'!$B:$B,$A131)</f>
        <v>-47133.60000000002</v>
      </c>
    </row>
    <row r="132" ht="15" customHeight="1">
      <c r="A132" s="27" t="inlineStr">
        <is>
          <t>Accumulated Net Income since 6/1/2024</t>
        </is>
      </c>
      <c r="B132" s="29" t="n">
        <v>0</v>
      </c>
      <c r="C132" s="29">
        <f>C81</f>
        <v>1499.6299999999901</v>
      </c>
      <c r="D132" s="29">
        <f>C132+D81</f>
        <v>16015.879999999999</v>
      </c>
      <c r="E132" s="29">
        <f>D132+E81</f>
        <v>21285.849999999999</v>
      </c>
      <c r="F132" s="29">
        <f>E132+F81</f>
        <v>26444.419999999998</v>
      </c>
      <c r="G132" s="29">
        <f>F132+G81</f>
        <v>29670.939999999999</v>
      </c>
      <c r="H132" s="29">
        <f>G132+H81</f>
        <v>32608.450000000001</v>
      </c>
      <c r="I132" s="29">
        <f>H132+I81</f>
        <v>7230.0500000000102</v>
      </c>
      <c r="J132" s="29">
        <f>I132+J81</f>
        <v>8033.0200000000104</v>
      </c>
      <c r="K132" s="29">
        <f>J132+K81</f>
        <v>8517.7700000000204</v>
      </c>
      <c r="L132" s="29">
        <f>K132+L81</f>
        <v>20594.48</v>
      </c>
      <c r="M132" s="29">
        <f>L132+M81</f>
        <v>37951.710000000101</v>
      </c>
      <c r="N132" s="29">
        <f>M132+N81</f>
        <v>61429.9200000001</v>
      </c>
      <c r="O132" s="29">
        <f>N132+O81</f>
        <v>61491.650000000103</v>
      </c>
      <c r="P132" s="29">
        <f>O132+P81</f>
        <v>96826.3100000001</v>
      </c>
      <c r="Q132" s="29">
        <f>P132+Q81</f>
        <v>97594.450000000099</v>
      </c>
      <c r="R132" s="29">
        <f>Q132+R81</f>
        <v>113487</v>
      </c>
      <c r="S132" s="29">
        <f>R132+S81</f>
        <v>140833.97</v>
      </c>
      <c r="T132" s="29">
        <f>S132+T81</f>
        <v>156477.03</v>
      </c>
      <c r="U132" s="29">
        <f>T132+U81</f>
        <v>148354.54000000001</v>
      </c>
      <c r="V132" s="29">
        <f>U132+V81</f>
        <v>171989.04000000001</v>
      </c>
      <c r="W132" s="29">
        <f>V132+W81</f>
        <v>172151.89999999999</v>
      </c>
      <c r="X132" s="29">
        <f>W132+X81</f>
        <v>181064.66</v>
      </c>
      <c r="Y132" s="29">
        <f>X132+Y81</f>
        <v>203105.53</v>
      </c>
      <c r="Z132" s="29">
        <f>Y132+Z81</f>
        <v>217979.19</v>
      </c>
      <c r="AA132" s="29">
        <f>Z132+AA81</f>
        <v>221815.39000000001</v>
      </c>
    </row>
    <row r="133" ht="15" customHeight="1">
      <c r="A133" s="28" t="inlineStr">
        <is>
          <t>Total Equity</t>
        </is>
      </c>
      <c r="B133" s="22">
        <f>SUM(B129:B132)</f>
        <v>6540.0400000000009</v>
      </c>
      <c r="C133" s="22">
        <f>SUM(C129:C132)</f>
        <v>3089.6199999999899</v>
      </c>
      <c r="D133" s="22">
        <f>SUM(D129:D132)</f>
        <v>12833.540000000001</v>
      </c>
      <c r="E133" s="22">
        <f>SUM(E129:E132)</f>
        <v>12955.23</v>
      </c>
      <c r="F133" s="22">
        <f>SUM(F129:F132)</f>
        <v>13240.73</v>
      </c>
      <c r="G133" s="22">
        <f>SUM(G129:G132)</f>
        <v>11574.23</v>
      </c>
      <c r="H133" s="22">
        <f>SUM(H129:H132)</f>
        <v>6660.7299999999996</v>
      </c>
      <c r="I133" s="22">
        <f>SUM(I129:I132)</f>
        <v>-11447.309999999999</v>
      </c>
      <c r="J133" s="22">
        <f>SUM(J129:J132)</f>
        <v>-11589.83</v>
      </c>
      <c r="K133" s="22">
        <f>SUM(K129:K132)</f>
        <v>-13630.75</v>
      </c>
      <c r="L133" s="22">
        <f>SUM(L129:L132)</f>
        <v>-5207.1599999999598</v>
      </c>
      <c r="M133" s="22">
        <f>SUM(M129:M132)</f>
        <v>3712.3000000000502</v>
      </c>
      <c r="N133" s="22">
        <f>SUM(N129:N132)</f>
        <v>22427.930000000099</v>
      </c>
      <c r="O133" s="22">
        <f>SUM(O129:O132)</f>
        <v>15422.280000000101</v>
      </c>
      <c r="P133" s="22">
        <f>SUM(P129:P132)</f>
        <v>43843.370000000097</v>
      </c>
      <c r="Q133" s="22">
        <f>SUM(Q129:Q132)</f>
        <v>36157.860000000102</v>
      </c>
      <c r="R133" s="22">
        <f>SUM(R129:R132)</f>
        <v>46222.590000000098</v>
      </c>
      <c r="S133" s="22">
        <f>SUM(S129:S132)</f>
        <v>65292.959999999999</v>
      </c>
      <c r="T133" s="22">
        <f>SUM(T129:T132)</f>
        <v>66407.410000000003</v>
      </c>
      <c r="U133" s="22">
        <f>SUM(U129:U132)</f>
        <v>55912.07</v>
      </c>
      <c r="V133" s="22">
        <f>SUM(V129:V132)</f>
        <v>74819.289999999994</v>
      </c>
      <c r="W133" s="22">
        <f>SUM(W129:W132)</f>
        <v>66481.039999999994</v>
      </c>
      <c r="X133" s="22">
        <f>SUM(X129:X132)</f>
        <v>66880.860000000001</v>
      </c>
      <c r="Y133" s="22">
        <f>SUM(Y129:Y132)</f>
        <v>83835.840000000098</v>
      </c>
      <c r="Z133" s="22">
        <f>SUM(Z129:Z132)</f>
        <v>89233.100000000093</v>
      </c>
      <c r="AA133" s="22">
        <f>SUM(AA129:AA132)</f>
        <v>82239.320000000094</v>
      </c>
    </row>
    <row r="134" ht="15" customHeight="1">
      <c r="A134" s="21" t="inlineStr">
        <is>
          <t>TOTAL LIABILITIES &amp; EQUITY</t>
        </is>
      </c>
      <c r="B134" s="22">
        <f>B126+B133</f>
        <v>30758.419999999998</v>
      </c>
      <c r="C134" s="22">
        <f>C126+C133</f>
        <v>25844.889999999999</v>
      </c>
      <c r="D134" s="22">
        <f>D126+D133</f>
        <v>29020.68</v>
      </c>
      <c r="E134" s="22">
        <f>E126+E133</f>
        <v>26730.779999999999</v>
      </c>
      <c r="F134" s="22">
        <f>F126+F133</f>
        <v>25601.07</v>
      </c>
      <c r="G134" s="22">
        <f>G126+G133</f>
        <v>46908.470000000001</v>
      </c>
      <c r="H134" s="22">
        <f>H126+H133</f>
        <v>41250.379999999997</v>
      </c>
      <c r="I134" s="22">
        <f>I126+I133</f>
        <v>24165.98</v>
      </c>
      <c r="J134" s="22">
        <f>J126+J133</f>
        <v>27430.459999999999</v>
      </c>
      <c r="K134" s="22">
        <f>K126+K133</f>
        <v>24658.279999999999</v>
      </c>
      <c r="L134" s="22">
        <f>L126+L133</f>
        <v>32819.410000000003</v>
      </c>
      <c r="M134" s="22">
        <f>M126+M133</f>
        <v>37746.120000000003</v>
      </c>
      <c r="N134" s="22">
        <f>N126+N133</f>
        <v>55546.980000000098</v>
      </c>
      <c r="O134" s="22">
        <f>O126+O133</f>
        <v>42192.830000000104</v>
      </c>
      <c r="P134" s="22">
        <f>P126+P133</f>
        <v>67083.440000000104</v>
      </c>
      <c r="Q134" s="22">
        <f>Q126+Q133</f>
        <v>48687.050000000097</v>
      </c>
      <c r="R134" s="22">
        <f>R126+R133</f>
        <v>57126.010000000097</v>
      </c>
      <c r="S134" s="22">
        <f>S126+S133</f>
        <v>75701.949999999997</v>
      </c>
      <c r="T134" s="22">
        <f>T126+T133</f>
        <v>72011.949999999997</v>
      </c>
      <c r="U134" s="22">
        <f>U126+U133</f>
        <v>61214.5</v>
      </c>
      <c r="V134" s="22">
        <f>V126+V133</f>
        <v>84059.029999999999</v>
      </c>
      <c r="W134" s="22">
        <f>W126+W133</f>
        <v>74227.389999999999</v>
      </c>
      <c r="X134" s="22">
        <f>X126+X133</f>
        <v>69863.470000000001</v>
      </c>
      <c r="Y134" s="22">
        <f>Y126+Y133</f>
        <v>87785.040000000095</v>
      </c>
      <c r="Z134" s="22">
        <f>Z126+Z133</f>
        <v>92667.820000000094</v>
      </c>
      <c r="AA134" s="22">
        <f>AA126+AA133</f>
        <v>87297.750000000102</v>
      </c>
    </row>
    <row r="135" ht="15" customHeight="1">
      <c r="A135" s="31" t="inlineStr">
        <is>
          <t>Check: Total Assets less Total Liabilities &amp; Equity</t>
        </is>
      </c>
      <c r="B135" s="32">
        <f>B108-B134</f>
        <v>0</v>
      </c>
      <c r="C135" s="32">
        <f>C108-C134</f>
        <v>0</v>
      </c>
      <c r="D135" s="32">
        <f>D108-D134</f>
        <v>0</v>
      </c>
      <c r="E135" s="32">
        <f>E108-E134</f>
        <v>0</v>
      </c>
      <c r="F135" s="32">
        <f>F108-F134</f>
        <v>0</v>
      </c>
      <c r="G135" s="32">
        <f>G108-G134</f>
        <v>0</v>
      </c>
      <c r="H135" s="32">
        <f>H108-H134</f>
        <v>0</v>
      </c>
      <c r="I135" s="32">
        <f>I108-I134</f>
        <v>0</v>
      </c>
      <c r="J135" s="32">
        <f>J108-J134</f>
        <v>0</v>
      </c>
      <c r="K135" s="32">
        <f>K108-K134</f>
        <v>0</v>
      </c>
      <c r="L135" s="32">
        <f>L108-L134</f>
        <v>0</v>
      </c>
      <c r="M135" s="32">
        <f>M108-M134</f>
        <v>0</v>
      </c>
      <c r="N135" s="32">
        <f>N108-N134</f>
        <v>0</v>
      </c>
      <c r="O135" s="32">
        <f>O108-O134</f>
        <v>0</v>
      </c>
      <c r="P135" s="32">
        <f>P108-P134</f>
        <v>0</v>
      </c>
      <c r="Q135" s="32">
        <f>Q108-Q134</f>
        <v>0</v>
      </c>
      <c r="R135" s="32">
        <f>R108-R134</f>
        <v>0</v>
      </c>
      <c r="S135" s="32">
        <f>S108-S134</f>
        <v>0</v>
      </c>
      <c r="T135" s="32">
        <f>T108-T134</f>
        <v>0</v>
      </c>
      <c r="U135" s="32">
        <f>U108-U134</f>
        <v>0</v>
      </c>
      <c r="V135" s="32">
        <f>V108-V134</f>
        <v>0</v>
      </c>
      <c r="W135" s="32">
        <f>W108-W134</f>
        <v>0</v>
      </c>
      <c r="X135" s="32">
        <f>X108-X134</f>
        <v>0</v>
      </c>
      <c r="Y135" s="32">
        <f>Y108-Y134</f>
        <v>0</v>
      </c>
      <c r="Z135" s="32">
        <f>Z108-Z134</f>
        <v>0</v>
      </c>
      <c r="AA135" s="32">
        <f>AA108-AA134</f>
        <v>0</v>
      </c>
    </row>
    <row r="138" ht="15" customHeight="1">
      <c r="A138" s="15" t="inlineStr">
        <is>
          <t>STATEMENT OF CASH FLOWS (INDIRECT METHOD)</t>
        </is>
      </c>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row>
    <row r="139" ht="21.75" customHeight="1">
      <c r="C139" s="18" t="inlineStr">
        <is>
          <t>Jun-24</t>
        </is>
      </c>
      <c r="D139" s="18" t="inlineStr">
        <is>
          <t>Jul-24</t>
        </is>
      </c>
      <c r="E139" s="18" t="inlineStr">
        <is>
          <t>Aug-24</t>
        </is>
      </c>
      <c r="F139" s="18" t="inlineStr">
        <is>
          <t>Sep-24</t>
        </is>
      </c>
      <c r="G139" s="18" t="inlineStr">
        <is>
          <t>Oct-24</t>
        </is>
      </c>
      <c r="H139" s="18" t="inlineStr">
        <is>
          <t>Nov-24</t>
        </is>
      </c>
      <c r="I139" s="18" t="inlineStr">
        <is>
          <t>Dec-24</t>
        </is>
      </c>
      <c r="J139" s="18" t="inlineStr">
        <is>
          <t>Jan-25</t>
        </is>
      </c>
      <c r="K139" s="18" t="inlineStr">
        <is>
          <t>Feb-25</t>
        </is>
      </c>
      <c r="L139" s="18" t="inlineStr">
        <is>
          <t>Mar-25</t>
        </is>
      </c>
      <c r="M139" s="18" t="inlineStr">
        <is>
          <t>Apr-25</t>
        </is>
      </c>
      <c r="N139" s="18" t="inlineStr">
        <is>
          <t>May-25</t>
        </is>
      </c>
      <c r="O139" s="18" t="inlineStr">
        <is>
          <t>Jun-25</t>
        </is>
      </c>
      <c r="P139" s="18" t="inlineStr">
        <is>
          <t>Jul-25</t>
        </is>
      </c>
      <c r="Q139" s="18" t="inlineStr">
        <is>
          <t>Aug-25</t>
        </is>
      </c>
      <c r="R139" s="18" t="inlineStr">
        <is>
          <t>Sep-25</t>
        </is>
      </c>
      <c r="S139" s="18" t="inlineStr">
        <is>
          <t>Oct-25</t>
        </is>
      </c>
      <c r="T139" s="18" t="inlineStr">
        <is>
          <t>Nov-25</t>
        </is>
      </c>
      <c r="U139" s="18" t="inlineStr">
        <is>
          <t>Dec-25</t>
        </is>
      </c>
      <c r="V139" s="18" t="inlineStr">
        <is>
          <t>Jan-26</t>
        </is>
      </c>
      <c r="W139" s="18" t="inlineStr">
        <is>
          <t>Feb-26</t>
        </is>
      </c>
      <c r="X139" s="18" t="inlineStr">
        <is>
          <t>Mar-26</t>
        </is>
      </c>
      <c r="Y139" s="18" t="inlineStr">
        <is>
          <t>Apr-26</t>
        </is>
      </c>
      <c r="Z139" s="18" t="inlineStr">
        <is>
          <t>May-26</t>
        </is>
      </c>
      <c r="AA139" s="18" t="inlineStr">
        <is>
          <t>Jun-26</t>
        </is>
      </c>
    </row>
    <row r="140" ht="15" customHeight="1">
      <c r="A140" s="19" t="inlineStr">
        <is>
          <t>Net Income</t>
        </is>
      </c>
      <c r="C140" s="29">
        <f>C81</f>
        <v>1499.6299999999901</v>
      </c>
      <c r="D140" s="29">
        <f>D81</f>
        <v>14516.25</v>
      </c>
      <c r="E140" s="29">
        <f>E81</f>
        <v>5269.9700000000003</v>
      </c>
      <c r="F140" s="29">
        <f>F81</f>
        <v>5158.5699999999997</v>
      </c>
      <c r="G140" s="29">
        <f>G81</f>
        <v>3226.52</v>
      </c>
      <c r="H140" s="29">
        <f>H81</f>
        <v>2937.5100000000102</v>
      </c>
      <c r="I140" s="29">
        <f>I81</f>
        <v>-25378.400000000001</v>
      </c>
      <c r="J140" s="29">
        <f>J81</f>
        <v>802.969999999999</v>
      </c>
      <c r="K140" s="29">
        <f>K81</f>
        <v>484.75000000001103</v>
      </c>
      <c r="L140" s="29">
        <f>L81</f>
        <v>12076.709999999999</v>
      </c>
      <c r="M140" s="29">
        <f>M81</f>
        <v>17357.23</v>
      </c>
      <c r="N140" s="29">
        <f>N81</f>
        <v>23478.209999999999</v>
      </c>
      <c r="O140" s="29">
        <f>O81</f>
        <v>61.730000000005198</v>
      </c>
      <c r="P140" s="29">
        <f>P81</f>
        <v>35334.660000000003</v>
      </c>
      <c r="Q140" s="29">
        <f>Q81</f>
        <v>768.13999999999999</v>
      </c>
      <c r="R140" s="29">
        <f>R81</f>
        <v>15892.549999999999</v>
      </c>
      <c r="S140" s="29">
        <f>S81</f>
        <v>27346.970000000001</v>
      </c>
      <c r="T140" s="29">
        <f>T81</f>
        <v>15643.059999999999</v>
      </c>
      <c r="U140" s="29">
        <f>U81</f>
        <v>-8122.4899999999898</v>
      </c>
      <c r="V140" s="29">
        <f>V81</f>
        <v>23634.5</v>
      </c>
      <c r="W140" s="29">
        <f>W81</f>
        <v>162.860000000003</v>
      </c>
      <c r="X140" s="29">
        <f>X81</f>
        <v>8912.7600000000202</v>
      </c>
      <c r="Y140" s="29">
        <f>Y81</f>
        <v>22040.869999999999</v>
      </c>
      <c r="Z140" s="29">
        <f>Z81</f>
        <v>14873.66</v>
      </c>
      <c r="AA140" s="29">
        <f>AA81</f>
        <v>3836.1999999999998</v>
      </c>
    </row>
    <row r="141" ht="15" customHeight="1">
      <c r="A141" s="26" t="inlineStr">
        <is>
          <t>Changes in Operating Assets</t>
        </is>
      </c>
    </row>
    <row r="142" ht="15" customHeight="1">
      <c r="A142" s="27" t="inlineStr">
        <is>
          <t>(Increase) / Decrease in Accounts Receivable</t>
        </is>
      </c>
      <c r="C142" s="29">
        <f>-(C92-B92)</f>
        <v>2.0463630789890885e-12</v>
      </c>
      <c r="D142" s="29">
        <f>-(D92-C92)</f>
        <v>3.751665644813329e-12</v>
      </c>
      <c r="E142" s="29">
        <f>-(E92-D92)</f>
        <v>-715.4599999999914</v>
      </c>
      <c r="F142" s="29">
        <f>-(F92-E92)</f>
        <v>-901.14000000001215</v>
      </c>
      <c r="G142" s="29">
        <f>-(G92-F92)</f>
        <v>-867.68000000000757</v>
      </c>
      <c r="H142" s="29">
        <f>-(H92-G92)</f>
        <v>-855.39999999999691</v>
      </c>
      <c r="I142" s="29">
        <f>-(I92-H92)</f>
        <v>3216.0800000000072</v>
      </c>
      <c r="J142" s="29">
        <f>-(J92-I92)</f>
        <v>-1030.4199999999964</v>
      </c>
      <c r="K142" s="29">
        <f>-(K92-J92)</f>
        <v>-1988.1400000000117</v>
      </c>
      <c r="L142" s="29">
        <f>-(L92-K92)</f>
        <v>2132.2699999999923</v>
      </c>
      <c r="M142" s="29">
        <f>-(M92-L92)</f>
        <v>886.28999999999871</v>
      </c>
      <c r="N142" s="29">
        <f>-(N92-M92)</f>
        <v>-1.4551915228366852e-11</v>
      </c>
      <c r="O142" s="29">
        <f>-(O92-N92)</f>
        <v>5.4569682106375694e-12</v>
      </c>
      <c r="P142" s="29">
        <f>-(P92-O92)</f>
        <v>-1614.820000000007</v>
      </c>
      <c r="Q142" s="29">
        <f>-(Q92-P92)</f>
        <v>-284.40000000000236</v>
      </c>
      <c r="R142" s="29">
        <f>-(R92-Q92)</f>
        <v>284.39999999999327</v>
      </c>
      <c r="S142" s="29">
        <f>-(S92-R92)</f>
        <v>0</v>
      </c>
      <c r="T142" s="29">
        <f>-(T92-S92)</f>
        <v>8849.8600000000006</v>
      </c>
      <c r="U142" s="29">
        <f>-(U92-T92)</f>
        <v>-3809.8399999999965</v>
      </c>
      <c r="V142" s="29">
        <f>-(V92-U92)</f>
        <v>-3425.2000000000116</v>
      </c>
      <c r="W142" s="29">
        <f>-(W92-V92)</f>
        <v>-9.0949470177292824e-12</v>
      </c>
      <c r="X142" s="29">
        <f>-(X92-W92)</f>
        <v>-1.0004441719502211e-11</v>
      </c>
      <c r="Y142" s="29">
        <f>-(Y92-X92)</f>
        <v>1.4551915228366852e-11</v>
      </c>
      <c r="Z142" s="29">
        <f>-(Z92-Y92)</f>
        <v>5.4569682106375694e-12</v>
      </c>
      <c r="AA142" s="29">
        <f>-(AA92-Z92)</f>
        <v>3.637978807091713e-12</v>
      </c>
    </row>
    <row r="143" ht="15" customHeight="1">
      <c r="A143" s="27" t="inlineStr">
        <is>
          <t>(Increase) / Decrease in Other Receivables</t>
        </is>
      </c>
      <c r="C143" s="29">
        <f>-(C93-B93)</f>
        <v>0</v>
      </c>
      <c r="D143" s="29">
        <f>-(D93-C93)</f>
        <v>-3917.3299999999999</v>
      </c>
      <c r="E143" s="29">
        <f>-(E93-D93)</f>
        <v>3917.3299999999999</v>
      </c>
      <c r="F143" s="29">
        <f>-(F93-E93)</f>
        <v>0</v>
      </c>
      <c r="G143" s="29">
        <f>-(G93-F93)</f>
        <v>0</v>
      </c>
      <c r="H143" s="29">
        <f>-(H93-G93)</f>
        <v>-987.54999999999995</v>
      </c>
      <c r="I143" s="29">
        <f>-(I93-H93)</f>
        <v>987.54999999999995</v>
      </c>
      <c r="J143" s="29">
        <f>-(J93-I93)</f>
        <v>0</v>
      </c>
      <c r="K143" s="29">
        <f>-(K93-J93)</f>
        <v>0</v>
      </c>
      <c r="L143" s="29">
        <f>-(L93-K93)</f>
        <v>0</v>
      </c>
      <c r="M143" s="29">
        <f>-(M93-L93)</f>
        <v>0</v>
      </c>
      <c r="N143" s="29">
        <f>-(N93-M93)</f>
        <v>0</v>
      </c>
      <c r="O143" s="29">
        <f>-(O93-N93)</f>
        <v>0</v>
      </c>
      <c r="P143" s="29">
        <f>-(P93-O93)</f>
        <v>0</v>
      </c>
      <c r="Q143" s="29">
        <f>-(Q93-P93)</f>
        <v>0</v>
      </c>
      <c r="R143" s="29">
        <f>-(R93-Q93)</f>
        <v>0</v>
      </c>
      <c r="S143" s="29">
        <f>-(S93-R93)</f>
        <v>0</v>
      </c>
      <c r="T143" s="29">
        <f>-(T93-S93)</f>
        <v>0</v>
      </c>
      <c r="U143" s="29">
        <f>-(U93-T93)</f>
        <v>0</v>
      </c>
      <c r="V143" s="29">
        <f>-(V93-U93)</f>
        <v>0</v>
      </c>
      <c r="W143" s="29">
        <f>-(W93-V93)</f>
        <v>0</v>
      </c>
      <c r="X143" s="29">
        <f>-(X93-W93)</f>
        <v>0</v>
      </c>
      <c r="Y143" s="29">
        <f>-(Y93-X93)</f>
        <v>0</v>
      </c>
      <c r="Z143" s="29">
        <f>-(Z93-Y93)</f>
        <v>0</v>
      </c>
      <c r="AA143" s="29">
        <f>-(AA93-Z93)</f>
        <v>0</v>
      </c>
    </row>
    <row r="144" ht="15" customHeight="1">
      <c r="A144" s="27" t="inlineStr">
        <is>
          <t>(Increase) / Decrease in Advances subject to Liquidation</t>
        </is>
      </c>
      <c r="C144" s="29">
        <f>-(C94-B94)</f>
        <v>-44.550000000000011</v>
      </c>
      <c r="D144" s="29">
        <f>-(D94-C94)</f>
        <v>-98.100000000000023</v>
      </c>
      <c r="E144" s="29">
        <f>-(E94-D94)</f>
        <v>-26.139999999999986</v>
      </c>
      <c r="F144" s="29">
        <f>-(F94-E94)</f>
        <v>223.75999999999999</v>
      </c>
      <c r="G144" s="29">
        <f>-(G94-F94)</f>
        <v>16.159999999999997</v>
      </c>
      <c r="H144" s="29">
        <f>-(H94-G94)</f>
        <v>-38.460000000000008</v>
      </c>
      <c r="I144" s="29">
        <f>-(I94-H94)</f>
        <v>-333.96999999999997</v>
      </c>
      <c r="J144" s="29">
        <f>-(J94-I94)</f>
        <v>266.85000000000002</v>
      </c>
      <c r="K144" s="29">
        <f>-(K94-J94)</f>
        <v>176.12</v>
      </c>
      <c r="L144" s="29">
        <f>-(L94-K94)</f>
        <v>265.74000000000001</v>
      </c>
      <c r="M144" s="29">
        <f>-(M94-L94)</f>
        <v>-245.61000000000001</v>
      </c>
      <c r="N144" s="29">
        <f>-(N94-M94)</f>
        <v>22.840000000000003</v>
      </c>
      <c r="O144" s="29">
        <f>-(O94-N94)</f>
        <v>0</v>
      </c>
      <c r="P144" s="29">
        <f>-(P94-O94)</f>
        <v>0</v>
      </c>
      <c r="Q144" s="29">
        <f>-(Q94-P94)</f>
        <v>76.609999999999999</v>
      </c>
      <c r="R144" s="29">
        <f>-(R94-Q94)</f>
        <v>41.209999999999965</v>
      </c>
      <c r="S144" s="29">
        <f>-(S94-R94)</f>
        <v>0</v>
      </c>
      <c r="T144" s="29">
        <f>-(T94-S94)</f>
        <v>0</v>
      </c>
      <c r="U144" s="29">
        <f>-(U94-T94)</f>
        <v>0</v>
      </c>
      <c r="V144" s="29">
        <f>-(V94-U94)</f>
        <v>0</v>
      </c>
      <c r="W144" s="29">
        <f>-(W94-V94)</f>
        <v>0</v>
      </c>
      <c r="X144" s="29">
        <f>-(X94-W94)</f>
        <v>0</v>
      </c>
      <c r="Y144" s="29">
        <f>-(Y94-X94)</f>
        <v>0</v>
      </c>
      <c r="Z144" s="29">
        <f>-(Z94-Y94)</f>
        <v>0</v>
      </c>
      <c r="AA144" s="29">
        <f>-(AA94-Z94)</f>
        <v>0</v>
      </c>
    </row>
    <row r="145" ht="15" customHeight="1">
      <c r="A145" s="27" t="inlineStr">
        <is>
          <t>(Increase) / Decrease in Advances to Contractors</t>
        </is>
      </c>
      <c r="C145" s="29">
        <f>-(C95-B95)</f>
        <v>223.5</v>
      </c>
      <c r="D145" s="29">
        <f>-(D95-C95)</f>
        <v>-680.46000000000004</v>
      </c>
      <c r="E145" s="29">
        <f>-(E95-D95)</f>
        <v>89.25</v>
      </c>
      <c r="F145" s="29">
        <f>-(F95-E95)</f>
        <v>-840.64999999999986</v>
      </c>
      <c r="G145" s="29">
        <f>-(G95-F95)</f>
        <v>515.86000000000013</v>
      </c>
      <c r="H145" s="29">
        <f>-(H95-G95)</f>
        <v>-818.25999999999999</v>
      </c>
      <c r="I145" s="29">
        <f>-(I95-H95)</f>
        <v>442.02999999999997</v>
      </c>
      <c r="J145" s="29">
        <f>-(J95-I95)</f>
        <v>200.99000000000001</v>
      </c>
      <c r="K145" s="29">
        <f>-(K95-J95)</f>
        <v>177.67000000000007</v>
      </c>
      <c r="L145" s="29">
        <f>-(L95-K95)</f>
        <v>-0.54999999999995453</v>
      </c>
      <c r="M145" s="29">
        <f>-(M95-L95)</f>
        <v>-115.27999999999997</v>
      </c>
      <c r="N145" s="29">
        <f>-(N95-M95)</f>
        <v>-117.99000000000001</v>
      </c>
      <c r="O145" s="29">
        <f>-(O95-N95)</f>
        <v>233.01999999999998</v>
      </c>
      <c r="P145" s="29">
        <f>-(P95-O95)</f>
        <v>-194.68000000000006</v>
      </c>
      <c r="Q145" s="29">
        <f>-(Q95-P95)</f>
        <v>-490.51999999999998</v>
      </c>
      <c r="R145" s="29">
        <f>-(R95-Q95)</f>
        <v>405.44000000000005</v>
      </c>
      <c r="S145" s="29">
        <f>-(S95-R95)</f>
        <v>164.17000000000007</v>
      </c>
      <c r="T145" s="29">
        <f>-(T95-S95)</f>
        <v>-201.48000000000002</v>
      </c>
      <c r="U145" s="29">
        <f>-(U95-T95)</f>
        <v>-42.299999999999955</v>
      </c>
      <c r="V145" s="29">
        <f>-(V95-U95)</f>
        <v>65.599999999999909</v>
      </c>
      <c r="W145" s="29">
        <f>-(W95-V95)</f>
        <v>725.36000000000001</v>
      </c>
      <c r="X145" s="29">
        <f>-(X95-W95)</f>
        <v>296.43000000000001</v>
      </c>
      <c r="Y145" s="29">
        <f>-(Y95-X95)</f>
        <v>189.38999999999999</v>
      </c>
      <c r="Z145" s="29">
        <f>-(Z95-Y95)</f>
        <v>82.719999999999999</v>
      </c>
      <c r="AA145" s="29">
        <f>-(AA95-Z95)</f>
        <v>105.65000000000001</v>
      </c>
    </row>
    <row r="146" ht="15" customHeight="1">
      <c r="A146" s="27" t="inlineStr">
        <is>
          <t>(Increase) / Decrease in Prepaid Expenses</t>
        </is>
      </c>
      <c r="C146" s="29">
        <f>-(C96-B96)</f>
        <v>0</v>
      </c>
      <c r="D146" s="29">
        <f>-(D96-C96)</f>
        <v>0</v>
      </c>
      <c r="E146" s="29">
        <f>-(E96-D96)</f>
        <v>0</v>
      </c>
      <c r="F146" s="29">
        <f>-(F96-E96)</f>
        <v>0</v>
      </c>
      <c r="G146" s="29">
        <f>-(G96-F96)</f>
        <v>0</v>
      </c>
      <c r="H146" s="29">
        <f>-(H96-G96)</f>
        <v>0</v>
      </c>
      <c r="I146" s="29">
        <f>-(I96-H96)</f>
        <v>0</v>
      </c>
      <c r="J146" s="29">
        <f>-(J96-I96)</f>
        <v>0</v>
      </c>
      <c r="K146" s="29">
        <f>-(K96-J96)</f>
        <v>331.32999999999998</v>
      </c>
      <c r="L146" s="29">
        <f>-(L96-K96)</f>
        <v>0</v>
      </c>
      <c r="M146" s="29">
        <f>-(M96-L96)</f>
        <v>0</v>
      </c>
      <c r="N146" s="29">
        <f>-(N96-M96)</f>
        <v>0</v>
      </c>
      <c r="O146" s="29">
        <f>-(O96-N96)</f>
        <v>0</v>
      </c>
      <c r="P146" s="29">
        <f>-(P96-O96)</f>
        <v>0</v>
      </c>
      <c r="Q146" s="29">
        <f>-(Q96-P96)</f>
        <v>0</v>
      </c>
      <c r="R146" s="29">
        <f>-(R96-Q96)</f>
        <v>0</v>
      </c>
      <c r="S146" s="29">
        <f>-(S96-R96)</f>
        <v>0</v>
      </c>
      <c r="T146" s="29">
        <f>-(T96-S96)</f>
        <v>0</v>
      </c>
      <c r="U146" s="29">
        <f>-(U96-T96)</f>
        <v>0</v>
      </c>
      <c r="V146" s="29">
        <f>-(V96-U96)</f>
        <v>0</v>
      </c>
      <c r="W146" s="29">
        <f>-(W96-V96)</f>
        <v>0</v>
      </c>
      <c r="X146" s="29">
        <f>-(X96-W96)</f>
        <v>0</v>
      </c>
      <c r="Y146" s="29">
        <f>-(Y96-X96)</f>
        <v>0</v>
      </c>
      <c r="Z146" s="29">
        <f>-(Z96-Y96)</f>
        <v>0</v>
      </c>
      <c r="AA146" s="29">
        <f>-(AA96-Z96)</f>
        <v>0</v>
      </c>
    </row>
    <row r="147" ht="15" customHeight="1">
      <c r="A147" s="27" t="inlineStr">
        <is>
          <t>(Increase) / Decrease in Due from Meet 5-Star Pros</t>
        </is>
      </c>
      <c r="C147" s="29">
        <f>-(C97-B97)</f>
        <v>0</v>
      </c>
      <c r="D147" s="29">
        <f>-(D97-C97)</f>
        <v>0</v>
      </c>
      <c r="E147" s="29">
        <f>-(E97-D97)</f>
        <v>0</v>
      </c>
      <c r="F147" s="29">
        <f>-(F97-E97)</f>
        <v>0</v>
      </c>
      <c r="G147" s="29">
        <f>-(G97-F97)</f>
        <v>0</v>
      </c>
      <c r="H147" s="29">
        <f>-(H97-G97)</f>
        <v>0</v>
      </c>
      <c r="I147" s="29">
        <f>-(I97-H97)</f>
        <v>0</v>
      </c>
      <c r="J147" s="29">
        <f>-(J97-I97)</f>
        <v>0</v>
      </c>
      <c r="K147" s="29">
        <f>-(K97-J97)</f>
        <v>0</v>
      </c>
      <c r="L147" s="29">
        <f>-(L97-K97)</f>
        <v>0</v>
      </c>
      <c r="M147" s="29">
        <f>-(M97-L97)</f>
        <v>0</v>
      </c>
      <c r="N147" s="29">
        <f>-(N97-M97)</f>
        <v>0</v>
      </c>
      <c r="O147" s="29">
        <f>-(O97-N97)</f>
        <v>0</v>
      </c>
      <c r="P147" s="29">
        <f>-(P97-O97)</f>
        <v>0</v>
      </c>
      <c r="Q147" s="29">
        <f>-(Q97-P97)</f>
        <v>0</v>
      </c>
      <c r="R147" s="29">
        <f>-(R97-Q97)</f>
        <v>0</v>
      </c>
      <c r="S147" s="29">
        <f>-(S97-R97)</f>
        <v>0</v>
      </c>
      <c r="T147" s="29">
        <f>-(T97-S97)</f>
        <v>-5109.0900000000001</v>
      </c>
      <c r="U147" s="29">
        <f>-(U97-T97)</f>
        <v>3396.4899999999998</v>
      </c>
      <c r="V147" s="29">
        <f>-(V97-U97)</f>
        <v>1712.6000000000004</v>
      </c>
      <c r="W147" s="29">
        <f>-(W97-V97)</f>
        <v>0</v>
      </c>
      <c r="X147" s="29">
        <f>-(X97-W97)</f>
        <v>0</v>
      </c>
      <c r="Y147" s="29">
        <f>-(Y97-X97)</f>
        <v>0</v>
      </c>
      <c r="Z147" s="29">
        <f>-(Z97-Y97)</f>
        <v>0</v>
      </c>
      <c r="AA147" s="29">
        <f>-(AA97-Z97)</f>
        <v>0</v>
      </c>
    </row>
    <row r="148" ht="15" customHeight="1">
      <c r="A148" s="27" t="inlineStr">
        <is>
          <t>(Increase) / Decrease in Due from Meet 5-star VAs</t>
        </is>
      </c>
      <c r="C148" s="29">
        <f>-(C98-B98)</f>
        <v>-263.97000000000003</v>
      </c>
      <c r="D148" s="29">
        <f>-(D98-C98)</f>
        <v>268.34999999999997</v>
      </c>
      <c r="E148" s="29">
        <f>-(E98-D98)</f>
        <v>-43.969999999999999</v>
      </c>
      <c r="F148" s="29">
        <f>-(F98-E98)</f>
        <v>-323.56000000000006</v>
      </c>
      <c r="G148" s="29">
        <f>-(G98-F98)</f>
        <v>-648.72000000000003</v>
      </c>
      <c r="H148" s="29">
        <f>-(H98-G98)</f>
        <v>-25.309999999999945</v>
      </c>
      <c r="I148" s="29">
        <f>-(I98-H98)</f>
        <v>-482.90000000000009</v>
      </c>
      <c r="J148" s="29">
        <f>-(J98-I98)</f>
        <v>2052.73</v>
      </c>
      <c r="K148" s="29">
        <f>-(K98-J98)</f>
        <v>0</v>
      </c>
      <c r="L148" s="29">
        <f>-(L98-K98)</f>
        <v>-444.31</v>
      </c>
      <c r="M148" s="29">
        <f>-(M98-L98)</f>
        <v>444.31</v>
      </c>
      <c r="N148" s="29">
        <f>-(N98-M98)</f>
        <v>-475.39999999999998</v>
      </c>
      <c r="O148" s="29">
        <f>-(O98-N98)</f>
        <v>-730.20000000000005</v>
      </c>
      <c r="P148" s="29">
        <f>-(P98-O98)</f>
        <v>1205.5999999999999</v>
      </c>
      <c r="Q148" s="29">
        <f>-(Q98-P98)</f>
        <v>0</v>
      </c>
      <c r="R148" s="29">
        <f>-(R98-Q98)</f>
        <v>0</v>
      </c>
      <c r="S148" s="29">
        <f>-(S98-R98)</f>
        <v>0</v>
      </c>
      <c r="T148" s="29">
        <f>-(T98-S98)</f>
        <v>0</v>
      </c>
      <c r="U148" s="29">
        <f>-(U98-T98)</f>
        <v>0</v>
      </c>
      <c r="V148" s="29">
        <f>-(V98-U98)</f>
        <v>0</v>
      </c>
      <c r="W148" s="29">
        <f>-(W98-V98)</f>
        <v>0</v>
      </c>
      <c r="X148" s="29">
        <f>-(X98-W98)</f>
        <v>0</v>
      </c>
      <c r="Y148" s="29">
        <f>-(Y98-X98)</f>
        <v>0</v>
      </c>
      <c r="Z148" s="29">
        <f>-(Z98-Y98)</f>
        <v>0</v>
      </c>
      <c r="AA148" s="29">
        <f>-(AA98-Z98)</f>
        <v>0</v>
      </c>
    </row>
    <row r="149" ht="15" customHeight="1">
      <c r="A149" s="26" t="inlineStr">
        <is>
          <t>Changes in Operating Liabilities</t>
        </is>
      </c>
    </row>
    <row r="150" ht="15" customHeight="1">
      <c r="A150" s="27" t="inlineStr">
        <is>
          <t>Increase / (Decrease) in AMEX Credit Card</t>
        </is>
      </c>
      <c r="C150" s="29">
        <f>+(C111-B111)</f>
        <v>140.91000000000008</v>
      </c>
      <c r="D150" s="29">
        <f>+(D111-C111)</f>
        <v>576.74000000000001</v>
      </c>
      <c r="E150" s="29">
        <f>+(E111-D111)</f>
        <v>44.799999999999955</v>
      </c>
      <c r="F150" s="29">
        <f>+(F111-E111)</f>
        <v>-316.99000000000001</v>
      </c>
      <c r="G150" s="29">
        <f>+(G111-F111)</f>
        <v>-439.81999999999994</v>
      </c>
      <c r="H150" s="29">
        <f>+(H111-G111)</f>
        <v>562.90999999999985</v>
      </c>
      <c r="I150" s="29">
        <f>+(I111-H111)</f>
        <v>549.42999999999984</v>
      </c>
      <c r="J150" s="29">
        <f>+(J111-I111)</f>
        <v>-576.20000000000005</v>
      </c>
      <c r="K150" s="29">
        <f>+(K111-J111)</f>
        <v>-359.96000000000004</v>
      </c>
      <c r="L150" s="29">
        <f>+(L111-K111)</f>
        <v>-193.95000000000005</v>
      </c>
      <c r="M150" s="29">
        <f>+(M111-L111)</f>
        <v>-167.91000000000008</v>
      </c>
      <c r="N150" s="29">
        <f>+(N111-M111)</f>
        <v>-50.419999999999959</v>
      </c>
      <c r="O150" s="29">
        <f>+(O111-N111)</f>
        <v>1037.2399999999998</v>
      </c>
      <c r="P150" s="29">
        <f>+(P111-O111)</f>
        <v>-853.40000000000009</v>
      </c>
      <c r="Q150" s="29">
        <f>+(Q111-P111)</f>
        <v>-229.52999999999997</v>
      </c>
      <c r="R150" s="29">
        <f>+(R111-Q111)</f>
        <v>2140.4699999999993</v>
      </c>
      <c r="S150" s="29">
        <f>+(S111-R111)</f>
        <v>1224.0500000000002</v>
      </c>
      <c r="T150" s="29">
        <f>+(T111-S111)</f>
        <v>-2444.0100000000002</v>
      </c>
      <c r="U150" s="29">
        <f>+(U111-T111)</f>
        <v>-410.32999999999993</v>
      </c>
      <c r="V150" s="29">
        <f>+(V111-U111)</f>
        <v>2494.02</v>
      </c>
      <c r="W150" s="29">
        <f>+(W111-V111)</f>
        <v>1279.2400000000002</v>
      </c>
      <c r="X150" s="29">
        <f>+(X111-W111)</f>
        <v>-4556.2299999999996</v>
      </c>
      <c r="Y150" s="29">
        <f>+(Y111-X111)</f>
        <v>374.81999999999994</v>
      </c>
      <c r="Z150" s="29">
        <f>+(Z111-Y111)</f>
        <v>9.4500000000000455</v>
      </c>
      <c r="AA150" s="29">
        <f>+(AA111-Z111)</f>
        <v>44.700000000000045</v>
      </c>
    </row>
    <row r="151" ht="15" customHeight="1">
      <c r="A151" s="27" t="inlineStr">
        <is>
          <t>Increase / (Decrease) in Amex Delta Credit Card</t>
        </is>
      </c>
      <c r="C151" s="29">
        <f>+(C112-B112)</f>
        <v>2433.239999999998</v>
      </c>
      <c r="D151" s="29">
        <f>+(D112-C112)</f>
        <v>-5490.630000000001</v>
      </c>
      <c r="E151" s="29">
        <f>+(E112-D112)</f>
        <v>-2062.2600000000002</v>
      </c>
      <c r="F151" s="29">
        <f>+(F112-E112)</f>
        <v>-2036.6999999999998</v>
      </c>
      <c r="G151" s="29">
        <f>+(G112-F112)</f>
        <v>226.17000000000007</v>
      </c>
      <c r="H151" s="29">
        <f>+(H112-G112)</f>
        <v>58.210000000000036</v>
      </c>
      <c r="I151" s="29">
        <f>+(I112-H112)</f>
        <v>177.4399999999996</v>
      </c>
      <c r="J151" s="29">
        <f>+(J112-I112)</f>
        <v>2532.2699999999995</v>
      </c>
      <c r="K151" s="29">
        <f>+(K112-J112)</f>
        <v>-102.23999999999978</v>
      </c>
      <c r="L151" s="29">
        <f>+(L112-K112)</f>
        <v>2014.3600000000006</v>
      </c>
      <c r="M151" s="29">
        <f>+(M112-L112)</f>
        <v>-79.670000000000073</v>
      </c>
      <c r="N151" s="29">
        <f>+(N112-M112)</f>
        <v>-10.309999999999491</v>
      </c>
      <c r="O151" s="29">
        <f>+(O112-N112)</f>
        <v>-2752.9899999999998</v>
      </c>
      <c r="P151" s="29">
        <f>+(P112-O112)</f>
        <v>-290.80999999999949</v>
      </c>
      <c r="Q151" s="29">
        <f>+(Q112-P112)</f>
        <v>-4062.3199999999997</v>
      </c>
      <c r="R151" s="29">
        <f>+(R112-Q112)</f>
        <v>-3088.9899999999998</v>
      </c>
      <c r="S151" s="29">
        <f>+(S112-R112)</f>
        <v>-215.98000000000002</v>
      </c>
      <c r="T151" s="29">
        <f>+(T112-S112)</f>
        <v>-168.65000000000009</v>
      </c>
      <c r="U151" s="29">
        <f>+(U112-T112)</f>
        <v>635.98000000000002</v>
      </c>
      <c r="V151" s="29">
        <f>+(V112-U112)</f>
        <v>2371.9599999999996</v>
      </c>
      <c r="W151" s="29">
        <f>+(W112-V112)</f>
        <v>-2940.77</v>
      </c>
      <c r="X151" s="29">
        <f>+(X112-W112)</f>
        <v>-98.779999999999973</v>
      </c>
      <c r="Y151" s="29">
        <f>+(Y112-X112)</f>
        <v>62.079999999999927</v>
      </c>
      <c r="Z151" s="29">
        <f>+(Z112-Y112)</f>
        <v>-143.75</v>
      </c>
      <c r="AA151" s="29">
        <f>+(AA112-Z112)</f>
        <v>929.50999999999999</v>
      </c>
    </row>
    <row r="152" ht="15" customHeight="1">
      <c r="A152" s="27" t="inlineStr">
        <is>
          <t>Increase / (Decrease) in Chase Credit Card 4 (1892)</t>
        </is>
      </c>
      <c r="C152" s="29">
        <f>+(C113-B113)</f>
        <v>-453.73000000000002</v>
      </c>
      <c r="D152" s="29">
        <f>+(D113-C113)</f>
        <v>75.170000000000073</v>
      </c>
      <c r="E152" s="29">
        <f>+(E113-D113)</f>
        <v>444.22000000000003</v>
      </c>
      <c r="F152" s="29">
        <f>+(F113-E113)</f>
        <v>487.90999999999985</v>
      </c>
      <c r="G152" s="29">
        <f>+(G113-F113)</f>
        <v>3093.6700000000001</v>
      </c>
      <c r="H152" s="29">
        <f>+(H113-G113)</f>
        <v>-2133.3699999999999</v>
      </c>
      <c r="I152" s="29">
        <f>+(I113-H113)</f>
        <v>2431.5200000000004</v>
      </c>
      <c r="J152" s="29">
        <f>+(J113-I113)</f>
        <v>2362.4300000000003</v>
      </c>
      <c r="K152" s="29">
        <f>+(K113-J113)</f>
        <v>413.57999999999993</v>
      </c>
      <c r="L152" s="29">
        <f>+(L113-K113)</f>
        <v>-31.530000000000655</v>
      </c>
      <c r="M152" s="29">
        <f>+(M113-L113)</f>
        <v>-1733.8099999999995</v>
      </c>
      <c r="N152" s="29">
        <f>+(N113-M113)</f>
        <v>722.67000000000007</v>
      </c>
      <c r="O152" s="29">
        <f>+(O113-N113)</f>
        <v>-486.35999999999967</v>
      </c>
      <c r="P152" s="29">
        <f>+(P113-O113)</f>
        <v>-1527.0100000000002</v>
      </c>
      <c r="Q152" s="29">
        <f>+(Q113-P113)</f>
        <v>-4752.3599999999997</v>
      </c>
      <c r="R152" s="29">
        <f>+(R113-Q113)</f>
        <v>649.46000000000004</v>
      </c>
      <c r="S152" s="29">
        <f>+(S113-R113)</f>
        <v>604.13000000000011</v>
      </c>
      <c r="T152" s="29">
        <f>+(T113-S113)</f>
        <v>-1209.3199999999999</v>
      </c>
      <c r="U152" s="29">
        <f>+(U113-T113)</f>
        <v>963.80999999999995</v>
      </c>
      <c r="V152" s="29">
        <f>+(V113-U113)</f>
        <v>-928.66999999999996</v>
      </c>
      <c r="W152" s="29">
        <f>+(W113-V113)</f>
        <v>168.13999999999999</v>
      </c>
      <c r="X152" s="29">
        <f>+(X113-W113)</f>
        <v>-108.73000000000002</v>
      </c>
      <c r="Y152" s="29">
        <f>+(Y113-X113)</f>
        <v>529.69000000000005</v>
      </c>
      <c r="Z152" s="29">
        <f>+(Z113-Y113)</f>
        <v>-380.18000000000006</v>
      </c>
      <c r="AA152" s="29">
        <f>+(AA113-Z113)</f>
        <v>649.5</v>
      </c>
    </row>
    <row r="153" ht="15" customHeight="1">
      <c r="A153" s="27" t="inlineStr">
        <is>
          <t>Increase / (Decrease) in Ohio Dept. of Taxation Payable</t>
        </is>
      </c>
      <c r="C153" s="29">
        <f>+(C114-B114)</f>
        <v>0</v>
      </c>
      <c r="D153" s="29">
        <f>+(D114-C114)</f>
        <v>0</v>
      </c>
      <c r="E153" s="29">
        <f>+(E114-D114)</f>
        <v>0</v>
      </c>
      <c r="F153" s="29">
        <f>+(F114-E114)</f>
        <v>0</v>
      </c>
      <c r="G153" s="29">
        <f>+(G114-F114)</f>
        <v>0</v>
      </c>
      <c r="H153" s="29">
        <f>+(H114-G114)</f>
        <v>0</v>
      </c>
      <c r="I153" s="29">
        <f>+(I114-H114)</f>
        <v>0</v>
      </c>
      <c r="J153" s="29">
        <f>+(J114-I114)</f>
        <v>0</v>
      </c>
      <c r="K153" s="29">
        <f>+(K114-J114)</f>
        <v>0</v>
      </c>
      <c r="L153" s="29">
        <f>+(L114-K114)</f>
        <v>0</v>
      </c>
      <c r="M153" s="29">
        <f>+(M114-L114)</f>
        <v>0</v>
      </c>
      <c r="N153" s="29">
        <f>+(N114-M114)</f>
        <v>0</v>
      </c>
      <c r="O153" s="29">
        <f>+(O114-N114)</f>
        <v>0</v>
      </c>
      <c r="P153" s="29">
        <f>+(P114-O114)</f>
        <v>0</v>
      </c>
      <c r="Q153" s="29">
        <f>+(Q114-P114)</f>
        <v>0</v>
      </c>
      <c r="R153" s="29">
        <f>+(R114-Q114)</f>
        <v>0</v>
      </c>
      <c r="S153" s="29">
        <f>+(S114-R114)</f>
        <v>0</v>
      </c>
      <c r="T153" s="29">
        <f>+(T114-S114)</f>
        <v>0</v>
      </c>
      <c r="U153" s="29">
        <f>+(U114-T114)</f>
        <v>0</v>
      </c>
      <c r="V153" s="29">
        <f>+(V114-U114)</f>
        <v>0</v>
      </c>
      <c r="W153" s="29">
        <f>+(W114-V114)</f>
        <v>0</v>
      </c>
      <c r="X153" s="29">
        <f>+(X114-W114)</f>
        <v>0</v>
      </c>
      <c r="Y153" s="29">
        <f>+(Y114-X114)</f>
        <v>0</v>
      </c>
      <c r="Z153" s="29">
        <f>+(Z114-Y114)</f>
        <v>0</v>
      </c>
      <c r="AA153" s="29">
        <f>+(AA114-Z114)</f>
        <v>0</v>
      </c>
    </row>
    <row r="154" ht="15" customHeight="1">
      <c r="A154" s="27" t="inlineStr">
        <is>
          <t>Increase / (Decrease) in Accrued Retirement</t>
        </is>
      </c>
      <c r="C154" s="29">
        <f>+(C115-B115)</f>
        <v>-859.91999999999996</v>
      </c>
      <c r="D154" s="29">
        <f>+(D115-C115)</f>
        <v>-45</v>
      </c>
      <c r="E154" s="29">
        <f>+(E115-D115)</f>
        <v>-45</v>
      </c>
      <c r="F154" s="29">
        <f>+(F115-E115)</f>
        <v>0</v>
      </c>
      <c r="G154" s="29">
        <f>+(G115-F115)</f>
        <v>-339.96000000000015</v>
      </c>
      <c r="H154" s="29">
        <f>+(H115-G115)</f>
        <v>339.95999999999998</v>
      </c>
      <c r="I154" s="29">
        <f>+(I115-H115)</f>
        <v>339.95999999999998</v>
      </c>
      <c r="J154" s="29">
        <f>+(J115-I115)</f>
        <v>339.95999999999992</v>
      </c>
      <c r="K154" s="29">
        <f>+(K115-J115)</f>
        <v>339.96000000000004</v>
      </c>
      <c r="L154" s="29">
        <f>+(L115-K115)</f>
        <v>339.96000000000004</v>
      </c>
      <c r="M154" s="29">
        <f>+(M115-L115)</f>
        <v>339.96000000000004</v>
      </c>
      <c r="N154" s="29">
        <f>+(N115-M115)</f>
        <v>339.95999999999981</v>
      </c>
      <c r="O154" s="29">
        <f>+(O115-N115)</f>
        <v>-2379.7199999999998</v>
      </c>
      <c r="P154" s="29">
        <f>+(P115-O115)</f>
        <v>0</v>
      </c>
      <c r="Q154" s="29">
        <f>+(Q115-P115)</f>
        <v>0</v>
      </c>
      <c r="R154" s="29">
        <f>+(R115-Q115)</f>
        <v>339.95999999999998</v>
      </c>
      <c r="S154" s="29">
        <f>+(S115-R115)</f>
        <v>-339.95999999999998</v>
      </c>
      <c r="T154" s="29">
        <f>+(T115-S115)</f>
        <v>0</v>
      </c>
      <c r="U154" s="29">
        <f>+(U115-T115)</f>
        <v>0</v>
      </c>
      <c r="V154" s="29">
        <f>+(V115-U115)</f>
        <v>0</v>
      </c>
      <c r="W154" s="29">
        <f>+(W115-V115)</f>
        <v>0</v>
      </c>
      <c r="X154" s="29">
        <f>+(X115-W115)</f>
        <v>0</v>
      </c>
      <c r="Y154" s="29">
        <f>+(Y115-X115)</f>
        <v>0</v>
      </c>
      <c r="Z154" s="29">
        <f>+(Z115-Y115)</f>
        <v>0</v>
      </c>
      <c r="AA154" s="29">
        <f>+(AA115-Z115)</f>
        <v>0</v>
      </c>
    </row>
    <row r="155" ht="15" customHeight="1">
      <c r="A155" s="27" t="inlineStr">
        <is>
          <t>Increase / (Decrease) in Christmas Expenses Fund</t>
        </is>
      </c>
      <c r="C155" s="29">
        <f>+(C116-B116)</f>
        <v>0</v>
      </c>
      <c r="D155" s="29">
        <f>+(D116-C116)</f>
        <v>0</v>
      </c>
      <c r="E155" s="29">
        <f>+(E116-D116)</f>
        <v>357.73000000000002</v>
      </c>
      <c r="F155" s="29">
        <f>+(F116-E116)</f>
        <v>450.56999999999994</v>
      </c>
      <c r="G155" s="29">
        <f>+(G116-F116)</f>
        <v>433.83999999999992</v>
      </c>
      <c r="H155" s="29">
        <f>+(H116-G116)</f>
        <v>427.70000000000005</v>
      </c>
      <c r="I155" s="29">
        <f>+(I116-H116)</f>
        <v>-1669.8399999999999</v>
      </c>
      <c r="J155" s="29">
        <f>+(J116-I116)</f>
        <v>0</v>
      </c>
      <c r="K155" s="29">
        <f>+(K116-J116)</f>
        <v>0</v>
      </c>
      <c r="L155" s="29">
        <f>+(L116-K116)</f>
        <v>0</v>
      </c>
      <c r="M155" s="29">
        <f>+(M116-L116)</f>
        <v>0</v>
      </c>
      <c r="N155" s="29">
        <f>+(N116-M116)</f>
        <v>0</v>
      </c>
      <c r="O155" s="29">
        <f>+(O116-N116)</f>
        <v>0</v>
      </c>
      <c r="P155" s="29">
        <f>+(P116-O116)</f>
        <v>807.40999999999997</v>
      </c>
      <c r="Q155" s="29">
        <f>+(Q116-P116)</f>
        <v>0</v>
      </c>
      <c r="R155" s="29">
        <f>+(R116-Q116)</f>
        <v>0</v>
      </c>
      <c r="S155" s="29">
        <f>+(S116-R116)</f>
        <v>0</v>
      </c>
      <c r="T155" s="29">
        <f>+(T116-S116)</f>
        <v>684.15999999999997</v>
      </c>
      <c r="U155" s="29">
        <f>+(U116-T116)</f>
        <v>-1491.5699999999999</v>
      </c>
      <c r="V155" s="29">
        <f>+(V116-U116)</f>
        <v>0</v>
      </c>
      <c r="W155" s="29">
        <f>+(W116-V116)</f>
        <v>0</v>
      </c>
      <c r="X155" s="29">
        <f>+(X116-W116)</f>
        <v>0</v>
      </c>
      <c r="Y155" s="29">
        <f>+(Y116-X116)</f>
        <v>0</v>
      </c>
      <c r="Z155" s="29">
        <f>+(Z116-Y116)</f>
        <v>0</v>
      </c>
      <c r="AA155" s="29">
        <f>+(AA116-Z116)</f>
        <v>0</v>
      </c>
    </row>
    <row r="156" ht="15" customHeight="1">
      <c r="A156" s="27" t="inlineStr">
        <is>
          <t>Increase / (Decrease) in One Bag, One Love Fund</t>
        </is>
      </c>
      <c r="C156" s="29">
        <f>+(C117-B117)</f>
        <v>0</v>
      </c>
      <c r="D156" s="29">
        <f>+(D117-C117)</f>
        <v>0</v>
      </c>
      <c r="E156" s="29">
        <f>+(E117-D117)</f>
        <v>0</v>
      </c>
      <c r="F156" s="29">
        <f>+(F117-E117)</f>
        <v>0</v>
      </c>
      <c r="G156" s="29">
        <f>+(G117-F117)</f>
        <v>0</v>
      </c>
      <c r="H156" s="29">
        <f>+(H117-G117)</f>
        <v>0</v>
      </c>
      <c r="I156" s="29">
        <f>+(I117-H117)</f>
        <v>61.799999999999997</v>
      </c>
      <c r="J156" s="29">
        <f>+(J117-I117)</f>
        <v>0</v>
      </c>
      <c r="K156" s="29">
        <f>+(K117-J117)</f>
        <v>0</v>
      </c>
      <c r="L156" s="29">
        <f>+(L117-K117)</f>
        <v>0</v>
      </c>
      <c r="M156" s="29">
        <f>+(M117-L117)</f>
        <v>0</v>
      </c>
      <c r="N156" s="29">
        <f>+(N117-M117)</f>
        <v>0</v>
      </c>
      <c r="O156" s="29">
        <f>+(O117-N117)</f>
        <v>0</v>
      </c>
      <c r="P156" s="29">
        <f>+(P117-O117)</f>
        <v>0</v>
      </c>
      <c r="Q156" s="29">
        <f>+(Q117-P117)</f>
        <v>0</v>
      </c>
      <c r="R156" s="29">
        <f>+(R117-Q117)</f>
        <v>0</v>
      </c>
      <c r="S156" s="29">
        <f>+(S117-R117)</f>
        <v>0</v>
      </c>
      <c r="T156" s="29">
        <f>+(T117-S117)</f>
        <v>0</v>
      </c>
      <c r="U156" s="29">
        <f>+(U117-T117)</f>
        <v>0</v>
      </c>
      <c r="V156" s="29">
        <f>+(V117-U117)</f>
        <v>0</v>
      </c>
      <c r="W156" s="29">
        <f>+(W117-V117)</f>
        <v>0</v>
      </c>
      <c r="X156" s="29">
        <f>+(X117-W117)</f>
        <v>0</v>
      </c>
      <c r="Y156" s="29">
        <f>+(Y117-X117)</f>
        <v>0</v>
      </c>
      <c r="Z156" s="29">
        <f>+(Z117-Y117)</f>
        <v>0</v>
      </c>
      <c r="AA156" s="29">
        <f>+(AA117-Z117)</f>
        <v>0</v>
      </c>
    </row>
    <row r="157" ht="15" customHeight="1">
      <c r="A157" s="27" t="inlineStr">
        <is>
          <t>Increase / (Decrease) in Teambuilding Fund</t>
        </is>
      </c>
      <c r="C157" s="29">
        <f>+(C118-B118)</f>
        <v>0</v>
      </c>
      <c r="D157" s="29">
        <f>+(D118-C118)</f>
        <v>0</v>
      </c>
      <c r="E157" s="29">
        <f>+(E118-D118)</f>
        <v>0</v>
      </c>
      <c r="F157" s="29">
        <f>+(F118-E118)</f>
        <v>0</v>
      </c>
      <c r="G157" s="29">
        <f>+(G118-F118)</f>
        <v>0</v>
      </c>
      <c r="H157" s="29">
        <f>+(H118-G118)</f>
        <v>0</v>
      </c>
      <c r="I157" s="29">
        <f>+(I118-H118)</f>
        <v>0</v>
      </c>
      <c r="J157" s="29">
        <f>+(J118-I118)</f>
        <v>515.21000000000004</v>
      </c>
      <c r="K157" s="29">
        <f>+(K118-J118)</f>
        <v>994.07000000000016</v>
      </c>
      <c r="L157" s="29">
        <f>+(L118-K118)</f>
        <v>-1074.6300000000001</v>
      </c>
      <c r="M157" s="29">
        <f>+(M118-L118)</f>
        <v>-434.65000000000009</v>
      </c>
      <c r="N157" s="29">
        <f>+(N118-M118)</f>
        <v>0</v>
      </c>
      <c r="O157" s="29">
        <f>+(O118-N118)</f>
        <v>0</v>
      </c>
      <c r="P157" s="29">
        <f>+(P118-O118)</f>
        <v>0</v>
      </c>
      <c r="Q157" s="29">
        <f>+(Q118-P118)</f>
        <v>0</v>
      </c>
      <c r="R157" s="29">
        <f>+(R118-Q118)</f>
        <v>0</v>
      </c>
      <c r="S157" s="29">
        <f>+(S118-R118)</f>
        <v>0</v>
      </c>
      <c r="T157" s="29">
        <f>+(T118-S118)</f>
        <v>0</v>
      </c>
      <c r="U157" s="29">
        <f>+(U118-T118)</f>
        <v>0</v>
      </c>
      <c r="V157" s="29">
        <f>+(V118-U118)</f>
        <v>0</v>
      </c>
      <c r="W157" s="29">
        <f>+(W118-V118)</f>
        <v>0</v>
      </c>
      <c r="X157" s="29">
        <f>+(X118-W118)</f>
        <v>0</v>
      </c>
      <c r="Y157" s="29">
        <f>+(Y118-X118)</f>
        <v>0</v>
      </c>
      <c r="Z157" s="29">
        <f>+(Z118-Y118)</f>
        <v>0</v>
      </c>
      <c r="AA157" s="29">
        <f>+(AA118-Z118)</f>
        <v>0</v>
      </c>
    </row>
    <row r="158" ht="15" customHeight="1">
      <c r="A158" s="27" t="inlineStr">
        <is>
          <t>Increase / (Decrease) in Line of Credit</t>
        </is>
      </c>
      <c r="C158" s="29">
        <f>+(C119-B119)</f>
        <v>0</v>
      </c>
      <c r="D158" s="29">
        <f>+(D119-C119)</f>
        <v>0</v>
      </c>
      <c r="E158" s="29">
        <f>+(E119-D119)</f>
        <v>0</v>
      </c>
      <c r="F158" s="29">
        <f>+(F119-E119)</f>
        <v>0</v>
      </c>
      <c r="G158" s="29">
        <f>+(G119-F119)</f>
        <v>20000</v>
      </c>
      <c r="H158" s="29">
        <f>+(H119-G119)</f>
        <v>0</v>
      </c>
      <c r="I158" s="29">
        <f>+(I119-H119)</f>
        <v>-866.66999999999825</v>
      </c>
      <c r="J158" s="29">
        <f>+(J119-I119)</f>
        <v>-1766.6699999999983</v>
      </c>
      <c r="K158" s="29">
        <f>+(K119-J119)</f>
        <v>-2016.6700000000001</v>
      </c>
      <c r="L158" s="29">
        <f>+(L119-K119)</f>
        <v>-1316.6700000000001</v>
      </c>
      <c r="M158" s="29">
        <f>+(M119-L119)</f>
        <v>-1916.6700000000001</v>
      </c>
      <c r="N158" s="29">
        <f>+(N119-M119)</f>
        <v>-1916.6700000000001</v>
      </c>
      <c r="O158" s="29">
        <f>+(O119-N119)</f>
        <v>-1766.6700000000001</v>
      </c>
      <c r="P158" s="29">
        <f>+(P119-O119)</f>
        <v>-1666.6700000000001</v>
      </c>
      <c r="Q158" s="29">
        <f>+(Q119-P119)</f>
        <v>-1666.6700000000001</v>
      </c>
      <c r="R158" s="29">
        <f>+(R119-Q119)</f>
        <v>-1666.6700000000001</v>
      </c>
      <c r="S158" s="29">
        <f>+(S119-R119)</f>
        <v>-1766.6700000000001</v>
      </c>
      <c r="T158" s="29">
        <f>+(T119-S119)</f>
        <v>-1666.6300000000001</v>
      </c>
      <c r="U158" s="29">
        <f>+(U119-T119)</f>
        <v>0</v>
      </c>
      <c r="V158" s="29">
        <f>+(V119-U119)</f>
        <v>0</v>
      </c>
      <c r="W158" s="29">
        <f>+(W119-V119)</f>
        <v>0</v>
      </c>
      <c r="X158" s="29">
        <f>+(X119-W119)</f>
        <v>0</v>
      </c>
      <c r="Y158" s="29">
        <f>+(Y119-X119)</f>
        <v>0</v>
      </c>
      <c r="Z158" s="29">
        <f>+(Z119-Y119)</f>
        <v>0</v>
      </c>
      <c r="AA158" s="29">
        <f>+(AA119-Z119)</f>
        <v>0</v>
      </c>
    </row>
    <row r="159" ht="15" customHeight="1">
      <c r="A159" s="21" t="inlineStr">
        <is>
          <t>Net Cash from Operating Activities</t>
        </is>
      </c>
      <c r="C159" s="22">
        <f>C140+SUM(C142:C148)+SUM(C150:C158)</f>
        <v>2675.1099999999901</v>
      </c>
      <c r="D159" s="22">
        <f>D140+SUM(D142:D148)+SUM(D150:D158)</f>
        <v>5204.9900000000098</v>
      </c>
      <c r="E159" s="22">
        <f>E140+SUM(E142:E148)+SUM(E150:E158)</f>
        <v>7230.4700000000003</v>
      </c>
      <c r="F159" s="22">
        <f>F140+SUM(F142:F148)+SUM(F150:F158)</f>
        <v>1901.77</v>
      </c>
      <c r="G159" s="22">
        <f>G140+SUM(G142:G148)+SUM(G150:G158)</f>
        <v>25216.040000000001</v>
      </c>
      <c r="H159" s="22">
        <f>H140+SUM(H142:H148)+SUM(H150:H158)</f>
        <v>-532.05999999999005</v>
      </c>
      <c r="I159" s="22">
        <f>I140+SUM(I142:I148)+SUM(I150:I158)</f>
        <v>-20525.970000000001</v>
      </c>
      <c r="J159" s="22">
        <f>J140+SUM(J142:J148)+SUM(J150:J158)</f>
        <v>5700.1200000000099</v>
      </c>
      <c r="K159" s="22">
        <f>K140+SUM(K142:K148)+SUM(K150:K158)</f>
        <v>-1549.52999999999</v>
      </c>
      <c r="L159" s="22">
        <f>L140+SUM(L142:L148)+SUM(L150:L158)</f>
        <v>13767.4</v>
      </c>
      <c r="M159" s="22">
        <f>M140+SUM(M142:M148)+SUM(M150:M158)</f>
        <v>14334.190000000001</v>
      </c>
      <c r="N159" s="22">
        <f>N140+SUM(N142:N148)+SUM(N150:N158)</f>
        <v>21992.889999999999</v>
      </c>
      <c r="O159" s="22">
        <f>O140+SUM(O142:O148)+SUM(O150:O158)</f>
        <v>-6783.9499999999998</v>
      </c>
      <c r="P159" s="22">
        <f>P140+SUM(P142:P148)+SUM(P150:P158)</f>
        <v>31200.279999999999</v>
      </c>
      <c r="Q159" s="22">
        <f>Q140+SUM(Q142:Q148)+SUM(Q150:Q158)</f>
        <v>-10641.049999999999</v>
      </c>
      <c r="R159" s="22">
        <f>R140+SUM(R142:R148)+SUM(R150:R158)</f>
        <v>14997.83</v>
      </c>
      <c r="S159" s="22">
        <f>S140+SUM(S142:S148)+SUM(S150:S158)</f>
        <v>27016.709999999999</v>
      </c>
      <c r="T159" s="22">
        <f>T140+SUM(T142:T148)+SUM(T150:T158)</f>
        <v>14377.9</v>
      </c>
      <c r="U159" s="22">
        <f>U140+SUM(U142:U148)+SUM(U150:U158)</f>
        <v>-8880.2499999999909</v>
      </c>
      <c r="V159" s="22">
        <f>V140+SUM(V142:V148)+SUM(V150:V158)</f>
        <v>25924.810000000001</v>
      </c>
      <c r="W159" s="22">
        <f>W140+SUM(W142:W148)+SUM(W150:W158)</f>
        <v>-605.17000000000405</v>
      </c>
      <c r="X159" s="22">
        <f>X140+SUM(X142:X148)+SUM(X150:X158)</f>
        <v>4445.4500000000198</v>
      </c>
      <c r="Y159" s="22">
        <f>Y140+SUM(Y142:Y148)+SUM(Y150:Y158)</f>
        <v>23196.849999999999</v>
      </c>
      <c r="Z159" s="22">
        <f>Z140+SUM(Z142:Z148)+SUM(Z150:Z158)</f>
        <v>14441.9</v>
      </c>
      <c r="AA159" s="22">
        <f>AA140+SUM(AA142:AA148)+SUM(AA150:AA158)</f>
        <v>5565.5600000000004</v>
      </c>
    </row>
    <row r="161" ht="15" customHeight="1">
      <c r="A161" s="26" t="inlineStr">
        <is>
          <t>Investing Activities</t>
        </is>
      </c>
    </row>
    <row r="162" ht="15" customHeight="1">
      <c r="A162" s="27" t="inlineStr">
        <is>
          <t>(Purchase) / Disposal of Office Equipment</t>
        </is>
      </c>
      <c r="C162" s="29">
        <f>-(C103-B103)</f>
        <v>0</v>
      </c>
      <c r="D162" s="29">
        <f>-(D103-C103)</f>
        <v>0</v>
      </c>
      <c r="E162" s="29">
        <f>-(E103-D103)</f>
        <v>0</v>
      </c>
      <c r="F162" s="29">
        <f>-(F103-E103)</f>
        <v>0</v>
      </c>
      <c r="G162" s="29">
        <f>-(G103-F103)</f>
        <v>0</v>
      </c>
      <c r="H162" s="29">
        <f>-(H103-G103)</f>
        <v>0</v>
      </c>
      <c r="I162" s="29">
        <f>-(I103-H103)</f>
        <v>0</v>
      </c>
      <c r="J162" s="29">
        <f>-(J103-I103)</f>
        <v>0</v>
      </c>
      <c r="K162" s="29">
        <f>-(K103-J103)</f>
        <v>0</v>
      </c>
      <c r="L162" s="29">
        <f>-(L103-K103)</f>
        <v>0</v>
      </c>
      <c r="M162" s="29">
        <f>-(M103-L103)</f>
        <v>0</v>
      </c>
      <c r="N162" s="29">
        <f>-(N103-M103)</f>
        <v>0</v>
      </c>
      <c r="O162" s="29">
        <f>-(O103-N103)</f>
        <v>0</v>
      </c>
      <c r="P162" s="29">
        <f>-(P103-O103)</f>
        <v>0</v>
      </c>
      <c r="Q162" s="29">
        <f>-(Q103-P103)</f>
        <v>0</v>
      </c>
      <c r="R162" s="29">
        <f>-(R103-Q103)</f>
        <v>0</v>
      </c>
      <c r="S162" s="29">
        <f>-(S103-R103)</f>
        <v>0</v>
      </c>
      <c r="T162" s="29">
        <f>-(T103-S103)</f>
        <v>0</v>
      </c>
      <c r="U162" s="29">
        <f>-(U103-T103)</f>
        <v>0</v>
      </c>
      <c r="V162" s="29">
        <f>-(V103-U103)</f>
        <v>0</v>
      </c>
      <c r="W162" s="29">
        <f>-(W103-V103)</f>
        <v>0</v>
      </c>
      <c r="X162" s="29">
        <f>-(X103-W103)</f>
        <v>0</v>
      </c>
      <c r="Y162" s="29">
        <f>-(Y103-X103)</f>
        <v>0</v>
      </c>
      <c r="Z162" s="29">
        <f>-(Z103-Y103)</f>
        <v>0</v>
      </c>
      <c r="AA162" s="29">
        <f>-(AA103-Z103)</f>
        <v>0</v>
      </c>
    </row>
    <row r="163" ht="15" customHeight="1">
      <c r="A163" s="27" t="inlineStr">
        <is>
          <t>(Purchase) / Disposal of Office Furniture &amp; Fixtures</t>
        </is>
      </c>
      <c r="C163" s="29">
        <f>-(C104-B104)</f>
        <v>0</v>
      </c>
      <c r="D163" s="29">
        <f>-(D104-C104)</f>
        <v>0</v>
      </c>
      <c r="E163" s="29">
        <f>-(E104-D104)</f>
        <v>0</v>
      </c>
      <c r="F163" s="29">
        <f>-(F104-E104)</f>
        <v>0</v>
      </c>
      <c r="G163" s="29">
        <f>-(G104-F104)</f>
        <v>0</v>
      </c>
      <c r="H163" s="29">
        <f>-(H104-G104)</f>
        <v>0</v>
      </c>
      <c r="I163" s="29">
        <f>-(I104-H104)</f>
        <v>0</v>
      </c>
      <c r="J163" s="29">
        <f>-(J104-I104)</f>
        <v>0</v>
      </c>
      <c r="K163" s="29">
        <f>-(K104-J104)</f>
        <v>0</v>
      </c>
      <c r="L163" s="29">
        <f>-(L104-K104)</f>
        <v>0</v>
      </c>
      <c r="M163" s="29">
        <f>-(M104-L104)</f>
        <v>0</v>
      </c>
      <c r="N163" s="29">
        <f>-(N104-M104)</f>
        <v>0</v>
      </c>
      <c r="O163" s="29">
        <f>-(O104-N104)</f>
        <v>0</v>
      </c>
      <c r="P163" s="29">
        <f>-(P104-O104)</f>
        <v>0</v>
      </c>
      <c r="Q163" s="29">
        <f>-(Q104-P104)</f>
        <v>0</v>
      </c>
      <c r="R163" s="29">
        <f>-(R104-Q104)</f>
        <v>0</v>
      </c>
      <c r="S163" s="29">
        <f>-(S104-R104)</f>
        <v>0</v>
      </c>
      <c r="T163" s="29">
        <f>-(T104-S104)</f>
        <v>0</v>
      </c>
      <c r="U163" s="29">
        <f>-(U104-T104)</f>
        <v>0</v>
      </c>
      <c r="V163" s="29">
        <f>-(V104-U104)</f>
        <v>0</v>
      </c>
      <c r="W163" s="29">
        <f>-(W104-V104)</f>
        <v>0</v>
      </c>
      <c r="X163" s="29">
        <f>-(X104-W104)</f>
        <v>0</v>
      </c>
      <c r="Y163" s="29">
        <f>-(Y104-X104)</f>
        <v>0</v>
      </c>
      <c r="Z163" s="29">
        <f>-(Z104-Y104)</f>
        <v>0</v>
      </c>
      <c r="AA163" s="29">
        <f>-(AA104-Z104)</f>
        <v>0</v>
      </c>
    </row>
    <row r="164" ht="15" customHeight="1">
      <c r="A164" s="27" t="inlineStr">
        <is>
          <t>(Purchase) / Disposal of Accumulated Depreciation</t>
        </is>
      </c>
      <c r="C164" s="29">
        <f>-(C105-B105)</f>
        <v>0</v>
      </c>
      <c r="D164" s="29">
        <f>-(D105-C105)</f>
        <v>0</v>
      </c>
      <c r="E164" s="29">
        <f>-(E105-D105)</f>
        <v>0</v>
      </c>
      <c r="F164" s="29">
        <f>-(F105-E105)</f>
        <v>0</v>
      </c>
      <c r="G164" s="29">
        <f>-(G105-F105)</f>
        <v>0</v>
      </c>
      <c r="H164" s="29">
        <f>-(H105-G105)</f>
        <v>0</v>
      </c>
      <c r="I164" s="29">
        <f>-(I105-H105)</f>
        <v>0</v>
      </c>
      <c r="J164" s="29">
        <f>-(J105-I105)</f>
        <v>0</v>
      </c>
      <c r="K164" s="29">
        <f>-(K105-J105)</f>
        <v>0</v>
      </c>
      <c r="L164" s="29">
        <f>-(L105-K105)</f>
        <v>0</v>
      </c>
      <c r="M164" s="29">
        <f>-(M105-L105)</f>
        <v>0</v>
      </c>
      <c r="N164" s="29">
        <f>-(N105-M105)</f>
        <v>0</v>
      </c>
      <c r="O164" s="29">
        <f>-(O105-N105)</f>
        <v>0</v>
      </c>
      <c r="P164" s="29">
        <f>-(P105-O105)</f>
        <v>0</v>
      </c>
      <c r="Q164" s="29">
        <f>-(Q105-P105)</f>
        <v>0</v>
      </c>
      <c r="R164" s="29">
        <f>-(R105-Q105)</f>
        <v>0</v>
      </c>
      <c r="S164" s="29">
        <f>-(S105-R105)</f>
        <v>0</v>
      </c>
      <c r="T164" s="29">
        <f>-(T105-S105)</f>
        <v>0</v>
      </c>
      <c r="U164" s="29">
        <f>-(U105-T105)</f>
        <v>0</v>
      </c>
      <c r="V164" s="29">
        <f>-(V105-U105)</f>
        <v>0</v>
      </c>
      <c r="W164" s="29">
        <f>-(W105-V105)</f>
        <v>0</v>
      </c>
      <c r="X164" s="29">
        <f>-(X105-W105)</f>
        <v>0</v>
      </c>
      <c r="Y164" s="29">
        <f>-(Y105-X105)</f>
        <v>0</v>
      </c>
      <c r="Z164" s="29">
        <f>-(Z105-Y105)</f>
        <v>0</v>
      </c>
      <c r="AA164" s="29">
        <f>-(AA105-Z105)</f>
        <v>0</v>
      </c>
    </row>
    <row r="165" ht="15" customHeight="1">
      <c r="A165" s="27" t="inlineStr">
        <is>
          <t>(Purchase) / Disposal of Security Deposit</t>
        </is>
      </c>
      <c r="C165" s="29">
        <f>-(C106-B106)</f>
        <v>0</v>
      </c>
      <c r="D165" s="29">
        <f>-(D106-C106)</f>
        <v>0</v>
      </c>
      <c r="E165" s="29">
        <f>-(E106-D106)</f>
        <v>0</v>
      </c>
      <c r="F165" s="29">
        <f>-(F106-E106)</f>
        <v>0</v>
      </c>
      <c r="G165" s="29">
        <f>-(G106-F106)</f>
        <v>0</v>
      </c>
      <c r="H165" s="29">
        <f>-(H106-G106)</f>
        <v>0</v>
      </c>
      <c r="I165" s="29">
        <f>-(I106-H106)</f>
        <v>0</v>
      </c>
      <c r="J165" s="29">
        <f>-(J106-I106)</f>
        <v>0</v>
      </c>
      <c r="K165" s="29">
        <f>-(K106-J106)</f>
        <v>0</v>
      </c>
      <c r="L165" s="29">
        <f>-(L106-K106)</f>
        <v>0</v>
      </c>
      <c r="M165" s="29">
        <f>-(M106-L106)</f>
        <v>0</v>
      </c>
      <c r="N165" s="29">
        <f>-(N106-M106)</f>
        <v>0</v>
      </c>
      <c r="O165" s="29">
        <f>-(O106-N106)</f>
        <v>0</v>
      </c>
      <c r="P165" s="29">
        <f>-(P106-O106)</f>
        <v>807.40999999999997</v>
      </c>
      <c r="Q165" s="29">
        <f>-(Q106-P106)</f>
        <v>0</v>
      </c>
      <c r="R165" s="29">
        <f>-(R106-Q106)</f>
        <v>0</v>
      </c>
      <c r="S165" s="29">
        <f>-(S106-R106)</f>
        <v>0</v>
      </c>
      <c r="T165" s="29">
        <f>-(T106-S106)</f>
        <v>0</v>
      </c>
      <c r="U165" s="29">
        <f>-(U106-T106)</f>
        <v>0</v>
      </c>
      <c r="V165" s="29">
        <f>-(V106-U106)</f>
        <v>0</v>
      </c>
      <c r="W165" s="29">
        <f>-(W106-V106)</f>
        <v>0</v>
      </c>
      <c r="X165" s="29">
        <f>-(X106-W106)</f>
        <v>0</v>
      </c>
      <c r="Y165" s="29">
        <f>-(Y106-X106)</f>
        <v>0</v>
      </c>
      <c r="Z165" s="29">
        <f>-(Z106-Y106)</f>
        <v>0</v>
      </c>
      <c r="AA165" s="29">
        <f>-(AA106-Z106)</f>
        <v>0</v>
      </c>
    </row>
    <row r="166" ht="15" customHeight="1">
      <c r="A166" s="21" t="inlineStr">
        <is>
          <t>Net Cash used in Investing Activities</t>
        </is>
      </c>
      <c r="C166" s="22">
        <f>SUM(C162:C165)</f>
        <v>0</v>
      </c>
      <c r="D166" s="22">
        <f>SUM(D162:D165)</f>
        <v>0</v>
      </c>
      <c r="E166" s="22">
        <f>SUM(E162:E165)</f>
        <v>0</v>
      </c>
      <c r="F166" s="22">
        <f>SUM(F162:F165)</f>
        <v>0</v>
      </c>
      <c r="G166" s="22">
        <f>SUM(G162:G165)</f>
        <v>0</v>
      </c>
      <c r="H166" s="22">
        <f>SUM(H162:H165)</f>
        <v>0</v>
      </c>
      <c r="I166" s="22">
        <f>SUM(I162:I165)</f>
        <v>0</v>
      </c>
      <c r="J166" s="22">
        <f>SUM(J162:J165)</f>
        <v>0</v>
      </c>
      <c r="K166" s="22">
        <f>SUM(K162:K165)</f>
        <v>0</v>
      </c>
      <c r="L166" s="22">
        <f>SUM(L162:L165)</f>
        <v>0</v>
      </c>
      <c r="M166" s="22">
        <f>SUM(M162:M165)</f>
        <v>0</v>
      </c>
      <c r="N166" s="22">
        <f>SUM(N162:N165)</f>
        <v>0</v>
      </c>
      <c r="O166" s="22">
        <f>SUM(O162:O165)</f>
        <v>0</v>
      </c>
      <c r="P166" s="22">
        <f>SUM(P162:P165)</f>
        <v>807.40999999999997</v>
      </c>
      <c r="Q166" s="22">
        <f>SUM(Q162:Q165)</f>
        <v>0</v>
      </c>
      <c r="R166" s="22">
        <f>SUM(R162:R165)</f>
        <v>0</v>
      </c>
      <c r="S166" s="22">
        <f>SUM(S162:S165)</f>
        <v>0</v>
      </c>
      <c r="T166" s="22">
        <f>SUM(T162:T165)</f>
        <v>0</v>
      </c>
      <c r="U166" s="22">
        <f>SUM(U162:U165)</f>
        <v>0</v>
      </c>
      <c r="V166" s="22">
        <f>SUM(V162:V165)</f>
        <v>0</v>
      </c>
      <c r="W166" s="22">
        <f>SUM(W162:W165)</f>
        <v>0</v>
      </c>
      <c r="X166" s="22">
        <f>SUM(X162:X165)</f>
        <v>0</v>
      </c>
      <c r="Y166" s="22">
        <f>SUM(Y162:Y165)</f>
        <v>0</v>
      </c>
      <c r="Z166" s="22">
        <f>SUM(Z162:Z165)</f>
        <v>0</v>
      </c>
      <c r="AA166" s="22">
        <f>SUM(AA162:AA165)</f>
        <v>0</v>
      </c>
    </row>
    <row r="168" ht="15" customHeight="1">
      <c r="A168" s="26" t="inlineStr">
        <is>
          <t>Financing Activities</t>
        </is>
      </c>
    </row>
    <row r="169" ht="15" customHeight="1">
      <c r="A169" s="27" t="inlineStr">
        <is>
          <t>Increase / (Decrease) in Loan Payable</t>
        </is>
      </c>
      <c r="C169" s="29">
        <f>+(C124-B124)</f>
        <v>-2723.6100000000001</v>
      </c>
      <c r="D169" s="29">
        <f>+(D124-C124)</f>
        <v>-1684.4100000000001</v>
      </c>
      <c r="E169" s="29">
        <f>+(E124-D124)</f>
        <v>-1151.0800000000002</v>
      </c>
      <c r="F169" s="29">
        <f>+(F124-E124)</f>
        <v>0</v>
      </c>
      <c r="G169" s="29">
        <f>+(G124-F124)</f>
        <v>0</v>
      </c>
      <c r="H169" s="29">
        <f>+(H124-G124)</f>
        <v>0</v>
      </c>
      <c r="I169" s="29">
        <f>+(I124-H124)</f>
        <v>0</v>
      </c>
      <c r="J169" s="29">
        <f>+(J124-I124)</f>
        <v>0</v>
      </c>
      <c r="K169" s="29">
        <f>+(K124-J124)</f>
        <v>0</v>
      </c>
      <c r="L169" s="29">
        <f>+(L124-K124)</f>
        <v>0</v>
      </c>
      <c r="M169" s="29">
        <f>+(M124-L124)</f>
        <v>0</v>
      </c>
      <c r="N169" s="29">
        <f>+(N124-M124)</f>
        <v>0</v>
      </c>
      <c r="O169" s="29">
        <f>+(O124-N124)</f>
        <v>0</v>
      </c>
      <c r="P169" s="29">
        <f>+(P124-O124)</f>
        <v>0</v>
      </c>
      <c r="Q169" s="29">
        <f>+(Q124-P124)</f>
        <v>0</v>
      </c>
      <c r="R169" s="29">
        <f>+(R124-Q124)</f>
        <v>0</v>
      </c>
      <c r="S169" s="29">
        <f>+(S124-R124)</f>
        <v>0</v>
      </c>
      <c r="T169" s="29">
        <f>+(T124-S124)</f>
        <v>0</v>
      </c>
      <c r="U169" s="29">
        <f>+(U124-T124)</f>
        <v>0</v>
      </c>
      <c r="V169" s="29">
        <f>+(V124-U124)</f>
        <v>0</v>
      </c>
      <c r="W169" s="29">
        <f>+(W124-V124)</f>
        <v>0</v>
      </c>
      <c r="X169" s="29">
        <f>+(X124-W124)</f>
        <v>0</v>
      </c>
      <c r="Y169" s="29">
        <f>+(Y124-X124)</f>
        <v>0</v>
      </c>
      <c r="Z169" s="29">
        <f>+(Z124-Y124)</f>
        <v>0</v>
      </c>
      <c r="AA169" s="29">
        <f>+(AA124-Z124)</f>
        <v>0</v>
      </c>
    </row>
    <row r="170" ht="15" customHeight="1">
      <c r="A170" s="27" t="inlineStr">
        <is>
          <t>Increase / (Decrease) in Retained Earnings</t>
        </is>
      </c>
      <c r="C170" s="29">
        <f>+(C130-B130)</f>
        <v>0</v>
      </c>
      <c r="D170" s="29">
        <f>+(D130-C130)</f>
        <v>0</v>
      </c>
      <c r="E170" s="29">
        <f>+(E130-D130)</f>
        <v>0</v>
      </c>
      <c r="F170" s="29">
        <f>+(F130-E130)</f>
        <v>0</v>
      </c>
      <c r="G170" s="29">
        <f>+(G130-F130)</f>
        <v>0</v>
      </c>
      <c r="H170" s="29">
        <f>+(H130-G130)</f>
        <v>0</v>
      </c>
      <c r="I170" s="29">
        <f>+(I130-H130)</f>
        <v>0</v>
      </c>
      <c r="J170" s="29">
        <f>+(J130-I130)</f>
        <v>-51485.830000000002</v>
      </c>
      <c r="K170" s="29">
        <f>+(K130-J130)</f>
        <v>0</v>
      </c>
      <c r="L170" s="29">
        <f>+(L130-K130)</f>
        <v>0</v>
      </c>
      <c r="M170" s="29">
        <f>+(M130-L130)</f>
        <v>0</v>
      </c>
      <c r="N170" s="29">
        <f>+(N130-M130)</f>
        <v>0</v>
      </c>
      <c r="O170" s="29">
        <f>+(O130-N130)</f>
        <v>0</v>
      </c>
      <c r="P170" s="29">
        <f>+(P130-O130)</f>
        <v>0</v>
      </c>
      <c r="Q170" s="29">
        <f>+(Q130-P130)</f>
        <v>0</v>
      </c>
      <c r="R170" s="29">
        <f>+(R130-Q130)</f>
        <v>0</v>
      </c>
      <c r="S170" s="29">
        <f>+(S130-R130)</f>
        <v>0</v>
      </c>
      <c r="T170" s="29">
        <f>+(T130-S130)</f>
        <v>0</v>
      </c>
      <c r="U170" s="29">
        <f>+(U130-T130)</f>
        <v>0</v>
      </c>
      <c r="V170" s="29">
        <f>+(V130-U130)</f>
        <v>-73765.109999999986</v>
      </c>
      <c r="W170" s="29">
        <f>+(W130-V130)</f>
        <v>0</v>
      </c>
      <c r="X170" s="29">
        <f>+(X130-W130)</f>
        <v>0</v>
      </c>
      <c r="Y170" s="29">
        <f>+(Y130-X130)</f>
        <v>0</v>
      </c>
      <c r="Z170" s="29">
        <f>+(Z130-Y130)</f>
        <v>0</v>
      </c>
      <c r="AA170" s="29">
        <f>+(AA130-Z130)</f>
        <v>0</v>
      </c>
    </row>
    <row r="171" ht="15" customHeight="1">
      <c r="A171" s="27" t="inlineStr">
        <is>
          <t>Increase / (Decrease) in Owner's Pay &amp; Personal Expenses</t>
        </is>
      </c>
      <c r="C171" s="29">
        <f>+(C131-B131)</f>
        <v>-4950.0499999999993</v>
      </c>
      <c r="D171" s="29">
        <f>+(D131-C131)</f>
        <v>-4772.3299999999981</v>
      </c>
      <c r="E171" s="29">
        <f>+(E131-D131)</f>
        <v>-5148.2799999999988</v>
      </c>
      <c r="F171" s="29">
        <f>+(F131-E131)</f>
        <v>-4873.0699999999997</v>
      </c>
      <c r="G171" s="29">
        <f>+(G131-F131)</f>
        <v>-4893.0199999999968</v>
      </c>
      <c r="H171" s="29">
        <f>+(H131-G131)</f>
        <v>-7851.010000000002</v>
      </c>
      <c r="I171" s="29">
        <f>+(I131-H131)</f>
        <v>7270.3600000000006</v>
      </c>
      <c r="J171" s="29">
        <f>+(J131-I131)</f>
        <v>50540.339999999997</v>
      </c>
      <c r="K171" s="29">
        <f>+(K131-J131)</f>
        <v>-2525.6700000000001</v>
      </c>
      <c r="L171" s="29">
        <f>+(L131-K131)</f>
        <v>-3653.1199999999999</v>
      </c>
      <c r="M171" s="29">
        <f>+(M131-L131)</f>
        <v>-8437.7700000000004</v>
      </c>
      <c r="N171" s="29">
        <f>+(N131-M131)</f>
        <v>-4762.5799999999981</v>
      </c>
      <c r="O171" s="29">
        <f>+(O131-N131)</f>
        <v>-7067.380000000001</v>
      </c>
      <c r="P171" s="29">
        <f>+(P131-O131)</f>
        <v>-6913.5700000000033</v>
      </c>
      <c r="Q171" s="29">
        <f>+(Q131-P131)</f>
        <v>-8453.6500000000015</v>
      </c>
      <c r="R171" s="29">
        <f>+(R131-Q131)</f>
        <v>-5827.8199999999997</v>
      </c>
      <c r="S171" s="29">
        <f>+(S131-R131)</f>
        <v>-8276.5999999999985</v>
      </c>
      <c r="T171" s="29">
        <f>+(T131-S131)</f>
        <v>-14528.610000000008</v>
      </c>
      <c r="U171" s="29">
        <f>+(U131-T131)</f>
        <v>-2372.8500000000058</v>
      </c>
      <c r="V171" s="29">
        <f>+(V131-U131)</f>
        <v>69037.830000000002</v>
      </c>
      <c r="W171" s="29">
        <f>+(W131-V131)</f>
        <v>-8501.1100000000006</v>
      </c>
      <c r="X171" s="29">
        <f>+(X131-W131)</f>
        <v>-8512.9400000000023</v>
      </c>
      <c r="Y171" s="29">
        <f>+(Y131-X131)</f>
        <v>-5085.8899999999994</v>
      </c>
      <c r="Z171" s="29">
        <f>+(Z131-Y131)</f>
        <v>-9476.4000000000015</v>
      </c>
      <c r="AA171" s="29">
        <f>+(AA131-Z131)</f>
        <v>-10829.980000000003</v>
      </c>
    </row>
    <row r="172" ht="15" customHeight="1">
      <c r="A172" s="21" t="inlineStr">
        <is>
          <t>Net Cash from Financing Activities</t>
        </is>
      </c>
      <c r="C172" s="22">
        <f>SUM(C169:C171)</f>
        <v>-7673.6599999999999</v>
      </c>
      <c r="D172" s="22">
        <f>SUM(D169:D171)</f>
        <v>-6456.739999999998</v>
      </c>
      <c r="E172" s="22">
        <f>SUM(E169:E171)</f>
        <v>-6299.3599999999988</v>
      </c>
      <c r="F172" s="22">
        <f>SUM(F169:F171)</f>
        <v>-4873.0699999999997</v>
      </c>
      <c r="G172" s="22">
        <f>SUM(G169:G171)</f>
        <v>-4893.0199999999968</v>
      </c>
      <c r="H172" s="22">
        <f>SUM(H169:H171)</f>
        <v>-7851.010000000002</v>
      </c>
      <c r="I172" s="22">
        <f>SUM(I169:I171)</f>
        <v>7270.3600000000006</v>
      </c>
      <c r="J172" s="22">
        <f>SUM(J169:J171)</f>
        <v>-945.49000000000524</v>
      </c>
      <c r="K172" s="22">
        <f>SUM(K169:K171)</f>
        <v>-2525.6700000000001</v>
      </c>
      <c r="L172" s="22">
        <f>SUM(L169:L171)</f>
        <v>-3653.1199999999999</v>
      </c>
      <c r="M172" s="22">
        <f>SUM(M169:M171)</f>
        <v>-8437.7700000000004</v>
      </c>
      <c r="N172" s="22">
        <f>SUM(N169:N171)</f>
        <v>-4762.5799999999981</v>
      </c>
      <c r="O172" s="22">
        <f>SUM(O169:O171)</f>
        <v>-7067.380000000001</v>
      </c>
      <c r="P172" s="22">
        <f>SUM(P169:P171)</f>
        <v>-6913.5700000000033</v>
      </c>
      <c r="Q172" s="22">
        <f>SUM(Q169:Q171)</f>
        <v>-8453.6500000000015</v>
      </c>
      <c r="R172" s="22">
        <f>SUM(R169:R171)</f>
        <v>-5827.8199999999997</v>
      </c>
      <c r="S172" s="22">
        <f>SUM(S169:S171)</f>
        <v>-8276.5999999999985</v>
      </c>
      <c r="T172" s="22">
        <f>SUM(T169:T171)</f>
        <v>-14528.610000000008</v>
      </c>
      <c r="U172" s="22">
        <f>SUM(U169:U171)</f>
        <v>-2372.8500000000058</v>
      </c>
      <c r="V172" s="22">
        <f>SUM(V169:V171)</f>
        <v>-4727.2799999999843</v>
      </c>
      <c r="W172" s="22">
        <f>SUM(W169:W171)</f>
        <v>-8501.1100000000006</v>
      </c>
      <c r="X172" s="22">
        <f>SUM(X169:X171)</f>
        <v>-8512.9400000000023</v>
      </c>
      <c r="Y172" s="22">
        <f>SUM(Y169:Y171)</f>
        <v>-5085.8899999999994</v>
      </c>
      <c r="Z172" s="22">
        <f>SUM(Z169:Z171)</f>
        <v>-9476.4000000000015</v>
      </c>
      <c r="AA172" s="22">
        <f>SUM(AA169:AA171)</f>
        <v>-10829.980000000003</v>
      </c>
    </row>
    <row r="174" ht="15" customHeight="1">
      <c r="A174" s="21" t="inlineStr">
        <is>
          <t>Net Change in Cash before Line of Credit</t>
        </is>
      </c>
      <c r="C174" s="22">
        <f>C159+C166+C172</f>
        <v>-4998.5500000000102</v>
      </c>
      <c r="D174" s="22">
        <f>D159+D166+D172</f>
        <v>-1251.74999999999</v>
      </c>
      <c r="E174" s="22">
        <f>E159+E166+E172</f>
        <v>931.11000000000399</v>
      </c>
      <c r="F174" s="22">
        <f>F159+F166+F172</f>
        <v>-2971.3000000000002</v>
      </c>
      <c r="G174" s="22">
        <f>G159+G166+G172</f>
        <v>20323.02</v>
      </c>
      <c r="H174" s="22">
        <f>H159+H166+H172</f>
        <v>-8383.0699999999906</v>
      </c>
      <c r="I174" s="22">
        <f>I159+I166+I172</f>
        <v>-13255.610000000001</v>
      </c>
      <c r="J174" s="22">
        <f>J159+J166+J172</f>
        <v>4754.6300000000001</v>
      </c>
      <c r="K174" s="22">
        <f>K159+K166+K172</f>
        <v>-4075.1999999999898</v>
      </c>
      <c r="L174" s="22">
        <f>L159+L166+L172</f>
        <v>10114.280000000001</v>
      </c>
      <c r="M174" s="22">
        <f>M159+M166+M172</f>
        <v>5896.4200000000101</v>
      </c>
      <c r="N174" s="22">
        <f>N159+N166+N172</f>
        <v>17230.310000000001</v>
      </c>
      <c r="O174" s="22">
        <f>O159+O166+O172</f>
        <v>-13851.33</v>
      </c>
      <c r="P174" s="22">
        <f>P159+P166+P172</f>
        <v>25094.119999999999</v>
      </c>
      <c r="Q174" s="22">
        <f>Q159+Q166+Q172</f>
        <v>-19094.700000000001</v>
      </c>
      <c r="R174" s="22">
        <f>R159+R166+R172</f>
        <v>9170.0100000000002</v>
      </c>
      <c r="S174" s="22">
        <f>S159+S166+S172</f>
        <v>18740.110000000001</v>
      </c>
      <c r="T174" s="22">
        <f>T159+T166+T172</f>
        <v>-150.710000000012</v>
      </c>
      <c r="U174" s="22">
        <f>U159+U166+U172</f>
        <v>-11253.1</v>
      </c>
      <c r="V174" s="22">
        <f>V159+V166+V172</f>
        <v>21197.529999999999</v>
      </c>
      <c r="W174" s="22">
        <f>W159+W166+W172</f>
        <v>-9106.2800000000007</v>
      </c>
      <c r="X174" s="22">
        <f>X159+X166+X172</f>
        <v>-4067.4899999999898</v>
      </c>
      <c r="Y174" s="22">
        <f>Y159+Y166+Y172</f>
        <v>18110.959999999999</v>
      </c>
      <c r="Z174" s="22">
        <f>Z159+Z166+Z172</f>
        <v>4965.5</v>
      </c>
      <c r="AA174" s="22">
        <f>AA159+AA166+AA172</f>
        <v>-5264.4200000000101</v>
      </c>
    </row>
    <row r="175" ht="15" customHeight="1">
      <c r="A175" s="19" t="inlineStr">
        <is>
          <t>Beginning Cash</t>
        </is>
      </c>
      <c r="C175" s="29">
        <f>SUM(B88:B91)</f>
        <v>28369.66</v>
      </c>
      <c r="D175" s="29">
        <f>C178</f>
        <v>23371.110000000001</v>
      </c>
      <c r="E175" s="29">
        <f>D178</f>
        <v>22119.360000000001</v>
      </c>
      <c r="F175" s="29">
        <f>E178</f>
        <v>23050.470000000001</v>
      </c>
      <c r="G175" s="29">
        <f>F178</f>
        <v>20079.169999999998</v>
      </c>
      <c r="H175" s="29">
        <f>G178</f>
        <v>40402.190000000002</v>
      </c>
      <c r="I175" s="29">
        <f>H178</f>
        <v>32019.119999999999</v>
      </c>
      <c r="J175" s="29">
        <f>I178</f>
        <v>18763.509999999998</v>
      </c>
      <c r="K175" s="29">
        <f>J178</f>
        <v>23518.139999999999</v>
      </c>
      <c r="L175" s="29">
        <f>K178</f>
        <v>19442.939999999999</v>
      </c>
      <c r="M175" s="29">
        <f>L178</f>
        <v>29557.220000000001</v>
      </c>
      <c r="N175" s="29">
        <f>M178</f>
        <v>35453.640000000101</v>
      </c>
      <c r="O175" s="29">
        <f>N178</f>
        <v>52683.950000000099</v>
      </c>
      <c r="P175" s="29">
        <f>O178</f>
        <v>38832.620000000097</v>
      </c>
      <c r="Q175" s="29">
        <f>P178</f>
        <v>63926.7400000001</v>
      </c>
      <c r="R175" s="29">
        <f>Q178</f>
        <v>44832.040000000103</v>
      </c>
      <c r="S175" s="29">
        <f>R178</f>
        <v>54002.050000000097</v>
      </c>
      <c r="T175" s="29">
        <f>S178</f>
        <v>72742.160000000003</v>
      </c>
      <c r="U175" s="29">
        <f>T178</f>
        <v>72591.449999999997</v>
      </c>
      <c r="V175" s="29">
        <f>U178</f>
        <v>61338.349999999999</v>
      </c>
      <c r="W175" s="29">
        <f>V178</f>
        <v>82535.880000000107</v>
      </c>
      <c r="X175" s="29">
        <f>W178</f>
        <v>73429.600000000093</v>
      </c>
      <c r="Y175" s="29">
        <f>X178</f>
        <v>69362.110000000102</v>
      </c>
      <c r="Z175" s="29">
        <f>Y178</f>
        <v>87473.070000000007</v>
      </c>
      <c r="AA175" s="29">
        <f>Z178</f>
        <v>92438.570000000007</v>
      </c>
    </row>
    <row r="176" ht="15" customHeight="1">
      <c r="A176" s="28" t="inlineStr">
        <is>
          <t>Ending Cash before Line of Credit</t>
        </is>
      </c>
      <c r="C176" s="23">
        <f>C175+C174</f>
        <v>23371.110000000001</v>
      </c>
      <c r="D176" s="23">
        <f>D175+D174</f>
        <v>22119.360000000001</v>
      </c>
      <c r="E176" s="23">
        <f>E175+E174</f>
        <v>23050.470000000001</v>
      </c>
      <c r="F176" s="23">
        <f>F175+F174</f>
        <v>20079.169999999998</v>
      </c>
      <c r="G176" s="23">
        <f>G175+G174</f>
        <v>40402.190000000002</v>
      </c>
      <c r="H176" s="23">
        <f>H175+H174</f>
        <v>32019.119999999999</v>
      </c>
      <c r="I176" s="23">
        <f>I175+I174</f>
        <v>18763.509999999998</v>
      </c>
      <c r="J176" s="23">
        <f>J175+J174</f>
        <v>23518.139999999999</v>
      </c>
      <c r="K176" s="23">
        <f>K175+K174</f>
        <v>19442.939999999999</v>
      </c>
      <c r="L176" s="23">
        <f>L175+L174</f>
        <v>29557.220000000001</v>
      </c>
      <c r="M176" s="23">
        <f>M175+M174</f>
        <v>35453.640000000101</v>
      </c>
      <c r="N176" s="23">
        <f>N175+N174</f>
        <v>52683.950000000099</v>
      </c>
      <c r="O176" s="23">
        <f>O175+O174</f>
        <v>38832.620000000097</v>
      </c>
      <c r="P176" s="23">
        <f>P175+P174</f>
        <v>63926.7400000001</v>
      </c>
      <c r="Q176" s="23">
        <f>Q175+Q174</f>
        <v>44832.040000000103</v>
      </c>
      <c r="R176" s="23">
        <f>R175+R174</f>
        <v>54002.050000000097</v>
      </c>
      <c r="S176" s="23">
        <f>S175+S174</f>
        <v>72742.160000000003</v>
      </c>
      <c r="T176" s="23">
        <f>T175+T174</f>
        <v>72591.449999999997</v>
      </c>
      <c r="U176" s="23">
        <f>U175+U174</f>
        <v>61338.349999999999</v>
      </c>
      <c r="V176" s="23">
        <f>V175+V174</f>
        <v>82535.880000000107</v>
      </c>
      <c r="W176" s="23">
        <f>W175+W174</f>
        <v>73429.600000000093</v>
      </c>
      <c r="X176" s="23">
        <f>X175+X174</f>
        <v>69362.110000000102</v>
      </c>
      <c r="Y176" s="23">
        <f>Y175+Y174</f>
        <v>87473.070000000007</v>
      </c>
      <c r="Z176" s="23">
        <f>Z175+Z174</f>
        <v>92438.570000000007</v>
      </c>
      <c r="AA176" s="23">
        <f>AA175+AA174</f>
        <v>87174.149999999994</v>
      </c>
    </row>
    <row r="177" ht="15" customHeight="1">
      <c r="A177" s="19" t="inlineStr">
        <is>
          <t>Line of Credit Draw / (Repayment)</t>
        </is>
      </c>
      <c r="C177" s="29">
        <f>C120</f>
        <v>0</v>
      </c>
      <c r="D177" s="29">
        <f>D120-C120</f>
        <v>0</v>
      </c>
      <c r="E177" s="29">
        <f>E120-D120</f>
        <v>0</v>
      </c>
      <c r="F177" s="29">
        <f>F120-E120</f>
        <v>0</v>
      </c>
      <c r="G177" s="29">
        <f>G120-F120</f>
        <v>0</v>
      </c>
      <c r="H177" s="29">
        <f>H120-G120</f>
        <v>0</v>
      </c>
      <c r="I177" s="29">
        <f>I120-H120</f>
        <v>0</v>
      </c>
      <c r="J177" s="29">
        <f>J120-I120</f>
        <v>0</v>
      </c>
      <c r="K177" s="29">
        <f>K120-J120</f>
        <v>0</v>
      </c>
      <c r="L177" s="29">
        <f>L120-K120</f>
        <v>0</v>
      </c>
      <c r="M177" s="29">
        <f>M120-L120</f>
        <v>0</v>
      </c>
      <c r="N177" s="29">
        <f>N120-M120</f>
        <v>0</v>
      </c>
      <c r="O177" s="29">
        <f>O120-N120</f>
        <v>0</v>
      </c>
      <c r="P177" s="29">
        <f>P120-O120</f>
        <v>0</v>
      </c>
      <c r="Q177" s="29">
        <f>Q120-P120</f>
        <v>0</v>
      </c>
      <c r="R177" s="29">
        <f>R120-Q120</f>
        <v>0</v>
      </c>
      <c r="S177" s="29">
        <f>S120-R120</f>
        <v>0</v>
      </c>
      <c r="T177" s="29">
        <f>T120-S120</f>
        <v>0</v>
      </c>
      <c r="U177" s="29">
        <f>U120-T120</f>
        <v>0</v>
      </c>
      <c r="V177" s="29">
        <f>V120-U120</f>
        <v>0</v>
      </c>
      <c r="W177" s="29">
        <f>W120-V120</f>
        <v>0</v>
      </c>
      <c r="X177" s="29">
        <f>X120-W120</f>
        <v>0</v>
      </c>
      <c r="Y177" s="29">
        <f>Y120-X120</f>
        <v>0</v>
      </c>
      <c r="Z177" s="29">
        <f>Z120-Y120</f>
        <v>0</v>
      </c>
      <c r="AA177" s="29">
        <f>AA120-Z120</f>
        <v>0</v>
      </c>
    </row>
    <row r="178" ht="15" customHeight="1">
      <c r="A178" s="21" t="inlineStr">
        <is>
          <t>Ending Cash</t>
        </is>
      </c>
      <c r="C178" s="22">
        <f>C176+C120</f>
        <v>23371.110000000001</v>
      </c>
      <c r="D178" s="22">
        <f>D176+D120</f>
        <v>22119.360000000001</v>
      </c>
      <c r="E178" s="22">
        <f>E176+E120</f>
        <v>23050.470000000001</v>
      </c>
      <c r="F178" s="22">
        <f>F176+F120</f>
        <v>20079.169999999998</v>
      </c>
      <c r="G178" s="22">
        <f>G176+G120</f>
        <v>40402.190000000002</v>
      </c>
      <c r="H178" s="22">
        <f>H176+H120</f>
        <v>32019.119999999999</v>
      </c>
      <c r="I178" s="22">
        <f>I176+I120</f>
        <v>18763.509999999998</v>
      </c>
      <c r="J178" s="22">
        <f>J176+J120</f>
        <v>23518.139999999999</v>
      </c>
      <c r="K178" s="22">
        <f>K176+K120</f>
        <v>19442.939999999999</v>
      </c>
      <c r="L178" s="22">
        <f>L176+L120</f>
        <v>29557.220000000001</v>
      </c>
      <c r="M178" s="22">
        <f>M176+M120</f>
        <v>35453.640000000101</v>
      </c>
      <c r="N178" s="22">
        <f>N176+N120</f>
        <v>52683.950000000099</v>
      </c>
      <c r="O178" s="22">
        <f>O176+O120</f>
        <v>38832.620000000097</v>
      </c>
      <c r="P178" s="22">
        <f>P176+P120</f>
        <v>63926.7400000001</v>
      </c>
      <c r="Q178" s="22">
        <f>Q176+Q120</f>
        <v>44832.040000000103</v>
      </c>
      <c r="R178" s="22">
        <f>R176+R120</f>
        <v>54002.050000000097</v>
      </c>
      <c r="S178" s="22">
        <f>S176+S120</f>
        <v>72742.160000000003</v>
      </c>
      <c r="T178" s="22">
        <f>T176+T120</f>
        <v>72591.449999999997</v>
      </c>
      <c r="U178" s="22">
        <f>U176+U120</f>
        <v>61338.349999999999</v>
      </c>
      <c r="V178" s="22">
        <f>V176+V120</f>
        <v>82535.880000000107</v>
      </c>
      <c r="W178" s="22">
        <f>W176+W120</f>
        <v>73429.600000000093</v>
      </c>
      <c r="X178" s="22">
        <f>X176+X120</f>
        <v>69362.110000000102</v>
      </c>
      <c r="Y178" s="22">
        <f>Y176+Y120</f>
        <v>87473.070000000007</v>
      </c>
      <c r="Z178" s="22">
        <f>Z176+Z120</f>
        <v>92438.570000000007</v>
      </c>
      <c r="AA178" s="22">
        <f>AA176+AA120</f>
        <v>87174.149999999994</v>
      </c>
    </row>
    <row r="179" ht="15" customHeight="1">
      <c r="A179" s="24" t="inlineStr">
        <is>
          <t>Cash per Balance Sheet</t>
        </is>
      </c>
      <c r="C179" s="29">
        <f>C88+C89+C90+C91+C99</f>
        <v>23371.110000000001</v>
      </c>
      <c r="D179" s="29">
        <f>D88+D89+D90+D91+D99</f>
        <v>22119.360000000001</v>
      </c>
      <c r="E179" s="29">
        <f>E88+E89+E90+E91+E99</f>
        <v>23050.470000000001</v>
      </c>
      <c r="F179" s="29">
        <f>F88+F89+F90+F91+F99</f>
        <v>20079.169999999998</v>
      </c>
      <c r="G179" s="29">
        <f>G88+G89+G90+G91+G99</f>
        <v>40402.190000000002</v>
      </c>
      <c r="H179" s="29">
        <f>H88+H89+H90+H91+H99</f>
        <v>32019.119999999999</v>
      </c>
      <c r="I179" s="29">
        <f>I88+I89+I90+I91+I99</f>
        <v>18763.509999999998</v>
      </c>
      <c r="J179" s="29">
        <f>J88+J89+J90+J91+J99</f>
        <v>23518.139999999999</v>
      </c>
      <c r="K179" s="29">
        <f>K88+K89+K90+K91+K99</f>
        <v>19442.939999999999</v>
      </c>
      <c r="L179" s="29">
        <f>L88+L89+L90+L91+L99</f>
        <v>29557.220000000001</v>
      </c>
      <c r="M179" s="29">
        <f>M88+M89+M90+M91+M99</f>
        <v>35453.639999999999</v>
      </c>
      <c r="N179" s="29">
        <f>N88+N89+N90+N91+N99</f>
        <v>52683.949999999997</v>
      </c>
      <c r="O179" s="29">
        <f>O88+O89+O90+O91+O99</f>
        <v>38832.620000000003</v>
      </c>
      <c r="P179" s="29">
        <f>P88+P89+P90+P91+P99</f>
        <v>63926.739999999998</v>
      </c>
      <c r="Q179" s="29">
        <f>Q88+Q89+Q90+Q91+Q99</f>
        <v>44832.040000000001</v>
      </c>
      <c r="R179" s="29">
        <f>R88+R89+R90+R91+R99</f>
        <v>54002.050000000003</v>
      </c>
      <c r="S179" s="29">
        <f>S88+S89+S90+S91+S99</f>
        <v>72742.160000000003</v>
      </c>
      <c r="T179" s="29">
        <f>T88+T89+T90+T91+T99</f>
        <v>72591.449999999997</v>
      </c>
      <c r="U179" s="29">
        <f>U88+U89+U90+U91+U99</f>
        <v>61338.349999999999</v>
      </c>
      <c r="V179" s="29">
        <f>V88+V89+V90+V91+V99</f>
        <v>82535.880000000005</v>
      </c>
      <c r="W179" s="29">
        <f>W88+W89+W90+W91+W99</f>
        <v>73429.600000000006</v>
      </c>
      <c r="X179" s="29">
        <f>X88+X89+X90+X91+X99</f>
        <v>69362.110000000001</v>
      </c>
      <c r="Y179" s="29">
        <f>Y88+Y89+Y90+Y91+Y99</f>
        <v>87473.070000000007</v>
      </c>
      <c r="Z179" s="29">
        <f>Z88+Z89+Z90+Z91+Z99</f>
        <v>92438.570000000007</v>
      </c>
      <c r="AA179" s="29">
        <f>AA88+AA89+AA90+AA91+AA99</f>
        <v>87174.149999999994</v>
      </c>
    </row>
    <row r="180" ht="15" customHeight="1">
      <c r="A180" s="24" t="inlineStr">
        <is>
          <t>Check: Ending Cash less Cash per Balance Sheet</t>
        </is>
      </c>
      <c r="C180" s="32">
        <f>C178-C179</f>
        <v>0</v>
      </c>
      <c r="D180" s="32">
        <f>D178-D179</f>
        <v>0</v>
      </c>
      <c r="E180" s="32">
        <f>E178-E179</f>
        <v>0</v>
      </c>
      <c r="F180" s="32">
        <f>F178-F179</f>
        <v>0</v>
      </c>
      <c r="G180" s="32">
        <f>G178-G179</f>
        <v>0</v>
      </c>
      <c r="H180" s="32">
        <f>H178-H179</f>
        <v>0</v>
      </c>
      <c r="I180" s="32">
        <f>I178-I179</f>
        <v>0</v>
      </c>
      <c r="J180" s="32">
        <f>J178-J179</f>
        <v>0</v>
      </c>
      <c r="K180" s="32">
        <f>K178-K179</f>
        <v>0</v>
      </c>
      <c r="L180" s="32">
        <f>L178-L179</f>
        <v>0</v>
      </c>
      <c r="M180" s="32">
        <f>M178-M179</f>
        <v>0</v>
      </c>
      <c r="N180" s="32">
        <f>N178-N179</f>
        <v>0</v>
      </c>
      <c r="O180" s="32">
        <f>O178-O179</f>
        <v>0</v>
      </c>
      <c r="P180" s="32">
        <f>P178-P179</f>
        <v>0</v>
      </c>
      <c r="Q180" s="32">
        <f>Q178-Q179</f>
        <v>0</v>
      </c>
      <c r="R180" s="32">
        <f>R178-R179</f>
        <v>0</v>
      </c>
      <c r="S180" s="32">
        <f>S178-S179</f>
        <v>0</v>
      </c>
      <c r="T180" s="32">
        <f>T178-T179</f>
        <v>0</v>
      </c>
      <c r="U180" s="32">
        <f>U178-U179</f>
        <v>0</v>
      </c>
      <c r="V180" s="32">
        <f>V178-V179</f>
        <v>0</v>
      </c>
      <c r="W180" s="32">
        <f>W178-W179</f>
        <v>0</v>
      </c>
      <c r="X180" s="32">
        <f>X178-X179</f>
        <v>0</v>
      </c>
      <c r="Y180" s="32">
        <f>Y178-Y179</f>
        <v>0</v>
      </c>
      <c r="Z180" s="32">
        <f>Z178-Z179</f>
        <v>0</v>
      </c>
      <c r="AA180" s="32">
        <f>AA178-AA179</f>
        <v>0</v>
      </c>
    </row>
    <row r="183" ht="15" customHeight="1">
      <c r="A183" s="15" t="inlineStr">
        <is>
          <t>SUPPORTING SCHEDULES</t>
        </is>
      </c>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row>
    <row r="185" ht="15" customHeight="1">
      <c r="A185" s="2" t="inlineStr">
        <is>
          <t>Schedule 1 — Margin</t>
        </is>
      </c>
    </row>
    <row r="186" ht="21.75" customHeight="1">
      <c r="C186" s="18" t="inlineStr">
        <is>
          <t>Jun-24</t>
        </is>
      </c>
      <c r="D186" s="18" t="inlineStr">
        <is>
          <t>Jul-24</t>
        </is>
      </c>
      <c r="E186" s="18" t="inlineStr">
        <is>
          <t>Aug-24</t>
        </is>
      </c>
      <c r="F186" s="18" t="inlineStr">
        <is>
          <t>Sep-24</t>
        </is>
      </c>
      <c r="G186" s="18" t="inlineStr">
        <is>
          <t>Oct-24</t>
        </is>
      </c>
      <c r="H186" s="18" t="inlineStr">
        <is>
          <t>Nov-24</t>
        </is>
      </c>
      <c r="I186" s="18" t="inlineStr">
        <is>
          <t>Dec-24</t>
        </is>
      </c>
      <c r="J186" s="18" t="inlineStr">
        <is>
          <t>Jan-25</t>
        </is>
      </c>
      <c r="K186" s="18" t="inlineStr">
        <is>
          <t>Feb-25</t>
        </is>
      </c>
      <c r="L186" s="18" t="inlineStr">
        <is>
          <t>Mar-25</t>
        </is>
      </c>
      <c r="M186" s="18" t="inlineStr">
        <is>
          <t>Apr-25</t>
        </is>
      </c>
      <c r="N186" s="18" t="inlineStr">
        <is>
          <t>May-25</t>
        </is>
      </c>
      <c r="O186" s="18" t="inlineStr">
        <is>
          <t>Jun-25</t>
        </is>
      </c>
      <c r="P186" s="18" t="inlineStr">
        <is>
          <t>Jul-25</t>
        </is>
      </c>
      <c r="Q186" s="18" t="inlineStr">
        <is>
          <t>Aug-25</t>
        </is>
      </c>
      <c r="R186" s="18" t="inlineStr">
        <is>
          <t>Sep-25</t>
        </is>
      </c>
      <c r="S186" s="18" t="inlineStr">
        <is>
          <t>Oct-25</t>
        </is>
      </c>
      <c r="T186" s="18" t="inlineStr">
        <is>
          <t>Nov-25</t>
        </is>
      </c>
      <c r="U186" s="18" t="inlineStr">
        <is>
          <t>Dec-25</t>
        </is>
      </c>
      <c r="V186" s="18" t="inlineStr">
        <is>
          <t>Jan-26</t>
        </is>
      </c>
      <c r="W186" s="18" t="inlineStr">
        <is>
          <t>Feb-26</t>
        </is>
      </c>
      <c r="X186" s="18" t="inlineStr">
        <is>
          <t>Mar-26</t>
        </is>
      </c>
      <c r="Y186" s="18" t="inlineStr">
        <is>
          <t>Apr-26</t>
        </is>
      </c>
      <c r="Z186" s="18" t="inlineStr">
        <is>
          <t>May-26</t>
        </is>
      </c>
      <c r="AA186" s="18" t="inlineStr">
        <is>
          <t>Jun-26</t>
        </is>
      </c>
    </row>
    <row r="187" ht="15" customHeight="1">
      <c r="A187" s="19" t="inlineStr">
        <is>
          <t>Net Revenue</t>
        </is>
      </c>
      <c r="C187" s="29">
        <f>C15</f>
        <v>65519.539999999994</v>
      </c>
      <c r="D187" s="29">
        <f>D15</f>
        <v>78557.470000000001</v>
      </c>
      <c r="E187" s="29">
        <f>E15</f>
        <v>69444.899999999994</v>
      </c>
      <c r="F187" s="29">
        <f>F15</f>
        <v>69420.320000000007</v>
      </c>
      <c r="G187" s="29">
        <f>G15</f>
        <v>74602.660000000003</v>
      </c>
      <c r="H187" s="29">
        <f>H15</f>
        <v>69554.580000000002</v>
      </c>
      <c r="I187" s="29">
        <f>I15</f>
        <v>68302.350000000006</v>
      </c>
      <c r="J187" s="29">
        <f>J15</f>
        <v>65585.419999999998</v>
      </c>
      <c r="K187" s="29">
        <f>K15</f>
        <v>60492.460000000006</v>
      </c>
      <c r="L187" s="29">
        <f>L15</f>
        <v>68435.320000000007</v>
      </c>
      <c r="M187" s="29">
        <f>M15</f>
        <v>75100.790000000008</v>
      </c>
      <c r="N187" s="29">
        <f>N15</f>
        <v>81083.710000000006</v>
      </c>
      <c r="O187" s="29">
        <f>O15</f>
        <v>54986.160000000003</v>
      </c>
      <c r="P187" s="29">
        <f>P15</f>
        <v>94903.209999999992</v>
      </c>
      <c r="Q187" s="29">
        <f>Q15</f>
        <v>62577.400000000001</v>
      </c>
      <c r="R187" s="29">
        <f>R15</f>
        <v>77731.279999999999</v>
      </c>
      <c r="S187" s="29">
        <f>S15</f>
        <v>94832.539999999994</v>
      </c>
      <c r="T187" s="29">
        <f>T15</f>
        <v>80735.759999999995</v>
      </c>
      <c r="U187" s="29">
        <f>U15</f>
        <v>79398.360000000001</v>
      </c>
      <c r="V187" s="29">
        <f>V15</f>
        <v>91896.650000000009</v>
      </c>
      <c r="W187" s="29">
        <f>W15</f>
        <v>63668.460000000006</v>
      </c>
      <c r="X187" s="29">
        <f>X15</f>
        <v>66863.060000000012</v>
      </c>
      <c r="Y187" s="29">
        <f>Y15</f>
        <v>89221.929999999993</v>
      </c>
      <c r="Z187" s="29">
        <f>Z15</f>
        <v>76717.389999999999</v>
      </c>
      <c r="AA187" s="29">
        <f>AA15</f>
        <v>64127.220000000001</v>
      </c>
    </row>
    <row r="188" ht="15" customHeight="1">
      <c r="A188" s="19" t="inlineStr">
        <is>
          <t>Revenue Growth % (MoM)</t>
        </is>
      </c>
      <c r="C188" s="25">
        <f>0</f>
        <v>0</v>
      </c>
      <c r="D188" s="25">
        <f>IFERROR(D15/C15-1,0)</f>
        <v>0.19899300269812659</v>
      </c>
      <c r="E188" s="25">
        <f>IFERROR(E15/D15-1,0)</f>
        <v>-0.11599877134536041</v>
      </c>
      <c r="F188" s="25">
        <f>IFERROR(F15/E15-1,0)</f>
        <v>-0.00035394967808988209</v>
      </c>
      <c r="G188" s="25">
        <f>IFERROR(G15/F15-1,0)</f>
        <v>0.074651629378833073</v>
      </c>
      <c r="H188" s="25">
        <f>IFERROR(H15/G15-1,0)</f>
        <v>-0.067666219944436334</v>
      </c>
      <c r="I188" s="25">
        <f>IFERROR(I15/H15-1,0)</f>
        <v>-0.01800355921924901</v>
      </c>
      <c r="J188" s="25">
        <f>IFERROR(J15/I15-1,0)</f>
        <v>-0.039777987140998894</v>
      </c>
      <c r="K188" s="25">
        <f>IFERROR(K15/J15-1,0)</f>
        <v>-0.077653844406271877</v>
      </c>
      <c r="L188" s="25">
        <f>IFERROR(L15/K15-1,0)</f>
        <v>0.1313033062302309</v>
      </c>
      <c r="M188" s="25">
        <f>IFERROR(M15/L15-1,0)</f>
        <v>0.097398097941238548</v>
      </c>
      <c r="N188" s="25">
        <f>IFERROR(N15/M15-1,0)</f>
        <v>0.079665207250150027</v>
      </c>
      <c r="O188" s="25">
        <f>IFERROR(O15/N15-1,0)</f>
        <v>-0.32185934758042034</v>
      </c>
      <c r="P188" s="25">
        <f>IFERROR(P15/O15-1,0)</f>
        <v>0.72594722017322155</v>
      </c>
      <c r="Q188" s="25">
        <f>IFERROR(Q15/P15-1,0)</f>
        <v>-0.34061872090522538</v>
      </c>
      <c r="R188" s="25">
        <f>IFERROR(R15/Q15-1,0)</f>
        <v>0.24216218634842601</v>
      </c>
      <c r="S188" s="25">
        <f>IFERROR(S15/R15-1,0)</f>
        <v>0.22000486805311836</v>
      </c>
      <c r="T188" s="25">
        <f>IFERROR(T15/S15-1,0)</f>
        <v>-0.14864918729372845</v>
      </c>
      <c r="U188" s="25">
        <f>IFERROR(U15/T15-1,0)</f>
        <v>-0.016565150312575216</v>
      </c>
      <c r="V188" s="25">
        <f>IFERROR(V15/U15-1,0)</f>
        <v>0.15741244529484</v>
      </c>
      <c r="W188" s="25">
        <f>IFERROR(W15/V15-1,0)</f>
        <v>-0.30717322122188351</v>
      </c>
      <c r="X188" s="25">
        <f>IFERROR(X15/W15-1,0)</f>
        <v>0.050175550029009752</v>
      </c>
      <c r="Y188" s="25">
        <f>IFERROR(Y15/X15-1,0)</f>
        <v>0.33439794708767412</v>
      </c>
      <c r="Z188" s="25">
        <f>IFERROR(Z15/Y15-1,0)</f>
        <v>-0.14015096961027396</v>
      </c>
      <c r="AA188" s="25">
        <f>IFERROR(AA15/Z15-1,0)</f>
        <v>-0.16411103141021866</v>
      </c>
    </row>
    <row r="189" ht="15" customHeight="1">
      <c r="A189" s="19" t="inlineStr">
        <is>
          <t>Gross Profit</t>
        </is>
      </c>
      <c r="C189" s="29">
        <f>C23</f>
        <v>36876.999999999993</v>
      </c>
      <c r="D189" s="29">
        <f>D23</f>
        <v>53054.889999999999</v>
      </c>
      <c r="E189" s="29">
        <f>E23</f>
        <v>43228.549999999996</v>
      </c>
      <c r="F189" s="29">
        <f>F23</f>
        <v>44064.779999999999</v>
      </c>
      <c r="G189" s="29">
        <f>G23</f>
        <v>47586.800000000003</v>
      </c>
      <c r="H189" s="29">
        <f>H23</f>
        <v>42717.980000000003</v>
      </c>
      <c r="I189" s="29">
        <f>I23</f>
        <v>44468.640000000007</v>
      </c>
      <c r="J189" s="29">
        <f>J23</f>
        <v>39539.740000000005</v>
      </c>
      <c r="K189" s="29">
        <f>K23</f>
        <v>36315.920000000013</v>
      </c>
      <c r="L189" s="29">
        <f>L23</f>
        <v>45943.580000000009</v>
      </c>
      <c r="M189" s="29">
        <f>M23</f>
        <v>49700.98000000001</v>
      </c>
      <c r="N189" s="29">
        <f>N23</f>
        <v>55874.950000000012</v>
      </c>
      <c r="O189" s="29">
        <f>O23</f>
        <v>29469.400000000005</v>
      </c>
      <c r="P189" s="29">
        <f>P23</f>
        <v>68596.689999999988</v>
      </c>
      <c r="Q189" s="29">
        <f>Q23</f>
        <v>31997.720000000001</v>
      </c>
      <c r="R189" s="29">
        <f>R23</f>
        <v>48615.559999999998</v>
      </c>
      <c r="S189" s="29">
        <f>S23</f>
        <v>65575.989999999991</v>
      </c>
      <c r="T189" s="29">
        <f>T23</f>
        <v>51825.559999999998</v>
      </c>
      <c r="U189" s="29">
        <f>U23</f>
        <v>51351.110000000001</v>
      </c>
      <c r="V189" s="29">
        <f>V23</f>
        <v>62756.990000000005</v>
      </c>
      <c r="W189" s="29">
        <f>W23</f>
        <v>34619.850000000006</v>
      </c>
      <c r="X189" s="29">
        <f>X23</f>
        <v>40600.470000000016</v>
      </c>
      <c r="Y189" s="29">
        <f>Y23</f>
        <v>59170.659999999989</v>
      </c>
      <c r="Z189" s="29">
        <f>Z23</f>
        <v>48381.019999999997</v>
      </c>
      <c r="AA189" s="29">
        <f>AA23</f>
        <v>37404.440000000002</v>
      </c>
    </row>
    <row r="190" ht="15" customHeight="1">
      <c r="A190" s="19" t="inlineStr">
        <is>
          <t>Gross Margin %</t>
        </is>
      </c>
      <c r="C190" s="25">
        <f>IFERROR(C23/C15,0)</f>
        <v>0.56283972689673945</v>
      </c>
      <c r="D190" s="25">
        <f>IFERROR(D23/D15,0)</f>
        <v>0.67536403603629291</v>
      </c>
      <c r="E190" s="25">
        <f>IFERROR(E23/E15,0)</f>
        <v>0.62248703648504067</v>
      </c>
      <c r="F190" s="25">
        <f>IFERROR(F23/F15,0)</f>
        <v>0.63475334023236996</v>
      </c>
      <c r="G190" s="25">
        <f>IFERROR(G23/G15,0)</f>
        <v>0.63787001696722345</v>
      </c>
      <c r="H190" s="25">
        <f>IFERROR(H23/H15,0)</f>
        <v>0.6141648759865993</v>
      </c>
      <c r="I190" s="25">
        <f>IFERROR(I23/I15,0)</f>
        <v>0.65105578358577709</v>
      </c>
      <c r="J190" s="25">
        <f>IFERROR(J23/J15,0)</f>
        <v>0.60287393143171164</v>
      </c>
      <c r="K190" s="25">
        <f>IFERROR(K23/K15,0)</f>
        <v>0.60033795947461899</v>
      </c>
      <c r="L190" s="25">
        <f>IFERROR(L23/L15,0)</f>
        <v>0.67134310177843848</v>
      </c>
      <c r="M190" s="25">
        <f>IFERROR(M23/M15,0)</f>
        <v>0.66179037530763662</v>
      </c>
      <c r="N190" s="25">
        <f>IFERROR(N23/N15,0)</f>
        <v>0.68910204034817857</v>
      </c>
      <c r="O190" s="25">
        <f>IFERROR(O23/O15,0)</f>
        <v>0.53594213525730849</v>
      </c>
      <c r="P190" s="25">
        <f>IFERROR(P23/P15,0)</f>
        <v>0.72280684710243193</v>
      </c>
      <c r="Q190" s="25">
        <f>IFERROR(Q23/Q15,0)</f>
        <v>0.51133028857063412</v>
      </c>
      <c r="R190" s="25">
        <f>IFERROR(R23/R15,0)</f>
        <v>0.62543110058138751</v>
      </c>
      <c r="S190" s="25">
        <f>IFERROR(S23/S15,0)</f>
        <v>0.6914924982500732</v>
      </c>
      <c r="T190" s="25">
        <f>IFERROR(T23/T15,0)</f>
        <v>0.64191580038386953</v>
      </c>
      <c r="U190" s="25">
        <f>IFERROR(U23/U15,0)</f>
        <v>0.64675277927654928</v>
      </c>
      <c r="V190" s="25">
        <f>IFERROR(V23/V15,0)</f>
        <v>0.6829083541130172</v>
      </c>
      <c r="W190" s="25">
        <f>IFERROR(W23/W15,0)</f>
        <v>0.54375196133218873</v>
      </c>
      <c r="X190" s="25">
        <f>IFERROR(X23/X15,0)</f>
        <v>0.60721824576978689</v>
      </c>
      <c r="Y190" s="25">
        <f>IFERROR(Y23/Y15,0)</f>
        <v>0.66318516086796142</v>
      </c>
      <c r="Z190" s="25">
        <f>IFERROR(Z23/Z15,0)</f>
        <v>0.63063954600123906</v>
      </c>
      <c r="AA190" s="25">
        <f>IFERROR(AA23/AA15,0)</f>
        <v>0.5832849139569749</v>
      </c>
    </row>
    <row r="191" ht="15" customHeight="1">
      <c r="A191" s="19" t="inlineStr">
        <is>
          <t>Operating Income (EBIT)</t>
        </is>
      </c>
      <c r="C191" s="29">
        <f>C72</f>
        <v>1862.7199999999939</v>
      </c>
      <c r="D191" s="29">
        <f>D72</f>
        <v>14730.610000000001</v>
      </c>
      <c r="E191" s="29">
        <f>E72</f>
        <v>5394.1999999999971</v>
      </c>
      <c r="F191" s="29">
        <f>F72</f>
        <v>5117.3700000000026</v>
      </c>
      <c r="G191" s="29">
        <f>G72</f>
        <v>3179.2000000000044</v>
      </c>
      <c r="H191" s="29">
        <f>H72</f>
        <v>2867.6900000000096</v>
      </c>
      <c r="I191" s="29">
        <f>I72</f>
        <v>-24398.479999999989</v>
      </c>
      <c r="J191" s="29">
        <f>J72</f>
        <v>1079.4600000000064</v>
      </c>
      <c r="K191" s="29">
        <f>K72</f>
        <v>423.66000000001077</v>
      </c>
      <c r="L191" s="29">
        <f>L72</f>
        <v>12721.920000000013</v>
      </c>
      <c r="M191" s="29">
        <f>M72</f>
        <v>17398.400000000009</v>
      </c>
      <c r="N191" s="29">
        <f>N72</f>
        <v>23510.490000000009</v>
      </c>
      <c r="O191" s="29">
        <f>O72</f>
        <v>89.740000000005239</v>
      </c>
      <c r="P191" s="29">
        <f>P72</f>
        <v>35344.179999999993</v>
      </c>
      <c r="Q191" s="29">
        <f>Q72</f>
        <v>787.06999999999607</v>
      </c>
      <c r="R191" s="29">
        <f>R72</f>
        <v>15909.619999999999</v>
      </c>
      <c r="S191" s="29">
        <f>S72</f>
        <v>27206.669999999984</v>
      </c>
      <c r="T191" s="29">
        <f>T72</f>
        <v>15481.639999999992</v>
      </c>
      <c r="U191" s="29">
        <f>U72</f>
        <v>-8242.3599999999933</v>
      </c>
      <c r="V191" s="29">
        <f>V72</f>
        <v>23520.630000000005</v>
      </c>
      <c r="W191" s="29">
        <f>W72</f>
        <v>80.410000000003492</v>
      </c>
      <c r="X191" s="29">
        <f>X72</f>
        <v>8725.2400000000198</v>
      </c>
      <c r="Y191" s="29">
        <f>Y72</f>
        <v>21939.179999999978</v>
      </c>
      <c r="Z191" s="29">
        <f>Z72</f>
        <v>14750.239999999998</v>
      </c>
      <c r="AA191" s="29">
        <f>AA72</f>
        <v>3709.6100000000006</v>
      </c>
    </row>
    <row r="192" ht="15" customHeight="1">
      <c r="A192" s="19" t="inlineStr">
        <is>
          <t>Operating Margin %</t>
        </is>
      </c>
      <c r="C192" s="25">
        <f>IFERROR(C72/C15,0)</f>
        <v>0.028429992029858481</v>
      </c>
      <c r="D192" s="25">
        <f>IFERROR(D72/D15,0)</f>
        <v>0.1875138035886339</v>
      </c>
      <c r="E192" s="25">
        <f>IFERROR(E72/E15,0)</f>
        <v>0.077675970445633846</v>
      </c>
      <c r="F192" s="25">
        <f>IFERROR(F72/F15,0)</f>
        <v>0.073715736257049844</v>
      </c>
      <c r="G192" s="25">
        <f>IFERROR(G72/G15,0)</f>
        <v>0.04261510246417493</v>
      </c>
      <c r="H192" s="25">
        <f>IFERROR(H72/H15,0)</f>
        <v>0.041229348232711772</v>
      </c>
      <c r="I192" s="25">
        <f>IFERROR(I72/I15,0)</f>
        <v>-0.3572128923821799</v>
      </c>
      <c r="J192" s="25">
        <f>IFERROR(J72/J15,0)</f>
        <v>0.016458841004601425</v>
      </c>
      <c r="K192" s="25">
        <f>IFERROR(K72/K15,0)</f>
        <v>0.0070035174631683144</v>
      </c>
      <c r="L192" s="25">
        <f>IFERROR(L72/L15,0)</f>
        <v>0.18589699003380142</v>
      </c>
      <c r="M192" s="25">
        <f>IFERROR(M72/M15,0)</f>
        <v>0.23166733665518041</v>
      </c>
      <c r="N192" s="25">
        <f>IFERROR(N72/N15,0)</f>
        <v>0.28995330874721947</v>
      </c>
      <c r="O192" s="25">
        <f>IFERROR(O72/O15,0)</f>
        <v>0.0016320470460204027</v>
      </c>
      <c r="P192" s="25">
        <f>IFERROR(P72/P15,0)</f>
        <v>0.37242344068235411</v>
      </c>
      <c r="Q192" s="25">
        <f>IFERROR(Q72/Q15,0)</f>
        <v>0.012577543969548048</v>
      </c>
      <c r="R192" s="25">
        <f>IFERROR(R72/R15,0)</f>
        <v>0.20467461747703111</v>
      </c>
      <c r="S192" s="25">
        <f>IFERROR(S72/S15,0)</f>
        <v>0.28689171459501123</v>
      </c>
      <c r="T192" s="25">
        <f>IFERROR(T72/T15,0)</f>
        <v>0.19175691168324907</v>
      </c>
      <c r="U192" s="25">
        <f>IFERROR(U72/U15,0)</f>
        <v>-0.10381020464402531</v>
      </c>
      <c r="V192" s="25">
        <f>IFERROR(V72/V15,0)</f>
        <v>0.25594654429731661</v>
      </c>
      <c r="W192" s="25">
        <f>IFERROR(W72/W15,0)</f>
        <v>0.0012629487190361363</v>
      </c>
      <c r="X192" s="25">
        <f>IFERROR(X72/X15,0)</f>
        <v>0.13049417720337683</v>
      </c>
      <c r="Y192" s="25">
        <f>IFERROR(Y72/Y15,0)</f>
        <v>0.24589447908154397</v>
      </c>
      <c r="Z192" s="25">
        <f>IFERROR(Z72/Z15,0)</f>
        <v>0.19226722911193928</v>
      </c>
      <c r="AA192" s="25">
        <f>IFERROR(AA72/AA15,0)</f>
        <v>0.057847665936555499</v>
      </c>
    </row>
    <row r="193" ht="15" customHeight="1">
      <c r="A193" s="19" t="inlineStr">
        <is>
          <t>Net Income</t>
        </is>
      </c>
      <c r="C193" s="29">
        <f>C81</f>
        <v>1499.6299999999901</v>
      </c>
      <c r="D193" s="29">
        <f>D81</f>
        <v>14516.25</v>
      </c>
      <c r="E193" s="29">
        <f>E81</f>
        <v>5269.9700000000003</v>
      </c>
      <c r="F193" s="29">
        <f>F81</f>
        <v>5158.5699999999997</v>
      </c>
      <c r="G193" s="29">
        <f>G81</f>
        <v>3226.52</v>
      </c>
      <c r="H193" s="29">
        <f>H81</f>
        <v>2937.5100000000102</v>
      </c>
      <c r="I193" s="29">
        <f>I81</f>
        <v>-25378.400000000001</v>
      </c>
      <c r="J193" s="29">
        <f>J81</f>
        <v>802.969999999999</v>
      </c>
      <c r="K193" s="29">
        <f>K81</f>
        <v>484.75000000001103</v>
      </c>
      <c r="L193" s="29">
        <f>L81</f>
        <v>12076.709999999999</v>
      </c>
      <c r="M193" s="29">
        <f>M81</f>
        <v>17357.23</v>
      </c>
      <c r="N193" s="29">
        <f>N81</f>
        <v>23478.209999999999</v>
      </c>
      <c r="O193" s="29">
        <f>O81</f>
        <v>61.730000000005198</v>
      </c>
      <c r="P193" s="29">
        <f>P81</f>
        <v>35334.660000000003</v>
      </c>
      <c r="Q193" s="29">
        <f>Q81</f>
        <v>768.13999999999999</v>
      </c>
      <c r="R193" s="29">
        <f>R81</f>
        <v>15892.549999999999</v>
      </c>
      <c r="S193" s="29">
        <f>S81</f>
        <v>27346.970000000001</v>
      </c>
      <c r="T193" s="29">
        <f>T81</f>
        <v>15643.059999999999</v>
      </c>
      <c r="U193" s="29">
        <f>U81</f>
        <v>-8122.4899999999898</v>
      </c>
      <c r="V193" s="29">
        <f>V81</f>
        <v>23634.5</v>
      </c>
      <c r="W193" s="29">
        <f>W81</f>
        <v>162.860000000003</v>
      </c>
      <c r="X193" s="29">
        <f>X81</f>
        <v>8912.7600000000202</v>
      </c>
      <c r="Y193" s="29">
        <f>Y81</f>
        <v>22040.869999999999</v>
      </c>
      <c r="Z193" s="29">
        <f>Z81</f>
        <v>14873.66</v>
      </c>
      <c r="AA193" s="29">
        <f>AA81</f>
        <v>3836.1999999999998</v>
      </c>
    </row>
    <row r="194" ht="15" customHeight="1">
      <c r="A194" s="19" t="inlineStr">
        <is>
          <t>Net Margin %</t>
        </is>
      </c>
      <c r="C194" s="33">
        <f>IFERROR(C81/C15,0)</f>
        <v>0.022888286456223501</v>
      </c>
      <c r="D194" s="33">
        <f>IFERROR(D81/D15,0)</f>
        <v>0.18478510064033399</v>
      </c>
      <c r="E194" s="33">
        <f>IFERROR(E81/E15,0)</f>
        <v>0.075887070180819596</v>
      </c>
      <c r="F194" s="33">
        <f>IFERROR(F81/F15,0)</f>
        <v>0.074309222429398206</v>
      </c>
      <c r="G194" s="33">
        <f>IFERROR(G81/G15,0)</f>
        <v>0.0432493962011542</v>
      </c>
      <c r="H194" s="33">
        <f>IFERROR(H81/H15,0)</f>
        <v>0.042233164228725299</v>
      </c>
      <c r="I194" s="33">
        <f>IFERROR(I81/I15,0)</f>
        <v>-0.37155969011315099</v>
      </c>
      <c r="J194" s="33">
        <f>IFERROR(J81/J15,0)</f>
        <v>0.012243117448969601</v>
      </c>
      <c r="K194" s="33">
        <f>IFERROR(K81/K15,0)</f>
        <v>0.0080133953884502403</v>
      </c>
      <c r="L194" s="33">
        <f>IFERROR(L81/L15,0)</f>
        <v>0.17646896368717199</v>
      </c>
      <c r="M194" s="33">
        <f>IFERROR(M81/M15,0)</f>
        <v>0.23111914002502501</v>
      </c>
      <c r="N194" s="33">
        <f>IFERROR(N81/N15,0)</f>
        <v>0.28955520165517801</v>
      </c>
      <c r="O194" s="33">
        <f>IFERROR(O81/O15,0)</f>
        <v>0.0011226461349547799</v>
      </c>
      <c r="P194" s="33">
        <f>IFERROR(P81/P15,0)</f>
        <v>0.37232312795320599</v>
      </c>
      <c r="Q194" s="33">
        <f>IFERROR(Q81/Q15,0)</f>
        <v>0.0122750385922074</v>
      </c>
      <c r="R194" s="33">
        <f>IFERROR(R81/R15,0)</f>
        <v>0.204455014763683</v>
      </c>
      <c r="S194" s="33">
        <f>IFERROR(S81/S15,0)</f>
        <v>0.28837116458127099</v>
      </c>
      <c r="T194" s="33">
        <f>IFERROR(T81/T15,0)</f>
        <v>0.19375627355214101</v>
      </c>
      <c r="U194" s="33">
        <f>IFERROR(U81/U15,0)</f>
        <v>-0.10230047572771001</v>
      </c>
      <c r="V194" s="33">
        <f>IFERROR(V81/V15,0)</f>
        <v>0.25718565366637403</v>
      </c>
      <c r="W194" s="33">
        <f>IFERROR(W81/W15,0)</f>
        <v>0.0025579384203733399</v>
      </c>
      <c r="X194" s="33">
        <f>IFERROR(X81/X15,0)</f>
        <v>0.13329871531455501</v>
      </c>
      <c r="Y194" s="33">
        <f>IFERROR(Y81/Y15,0)</f>
        <v>0.24703422129514599</v>
      </c>
      <c r="Z194" s="33">
        <f>IFERROR(Z81/Z15,0)</f>
        <v>0.19387599082815499</v>
      </c>
      <c r="AA194" s="33">
        <f>IFERROR(AA81/AA15,0)</f>
        <v>0.059821710655787098</v>
      </c>
    </row>
    <row r="196" ht="15" customHeight="1">
      <c r="A196" s="2" t="inlineStr">
        <is>
          <t>Schedule 2 — Labor</t>
        </is>
      </c>
    </row>
    <row r="197" ht="21.75" customHeight="1">
      <c r="C197" s="18" t="inlineStr">
        <is>
          <t>Jun-24</t>
        </is>
      </c>
      <c r="D197" s="18" t="inlineStr">
        <is>
          <t>Jul-24</t>
        </is>
      </c>
      <c r="E197" s="18" t="inlineStr">
        <is>
          <t>Aug-24</t>
        </is>
      </c>
      <c r="F197" s="18" t="inlineStr">
        <is>
          <t>Sep-24</t>
        </is>
      </c>
      <c r="G197" s="18" t="inlineStr">
        <is>
          <t>Oct-24</t>
        </is>
      </c>
      <c r="H197" s="18" t="inlineStr">
        <is>
          <t>Nov-24</t>
        </is>
      </c>
      <c r="I197" s="18" t="inlineStr">
        <is>
          <t>Dec-24</t>
        </is>
      </c>
      <c r="J197" s="18" t="inlineStr">
        <is>
          <t>Jan-25</t>
        </is>
      </c>
      <c r="K197" s="18" t="inlineStr">
        <is>
          <t>Feb-25</t>
        </is>
      </c>
      <c r="L197" s="18" t="inlineStr">
        <is>
          <t>Mar-25</t>
        </is>
      </c>
      <c r="M197" s="18" t="inlineStr">
        <is>
          <t>Apr-25</t>
        </is>
      </c>
      <c r="N197" s="18" t="inlineStr">
        <is>
          <t>May-25</t>
        </is>
      </c>
      <c r="O197" s="18" t="inlineStr">
        <is>
          <t>Jun-25</t>
        </is>
      </c>
      <c r="P197" s="18" t="inlineStr">
        <is>
          <t>Jul-25</t>
        </is>
      </c>
      <c r="Q197" s="18" t="inlineStr">
        <is>
          <t>Aug-25</t>
        </is>
      </c>
      <c r="R197" s="18" t="inlineStr">
        <is>
          <t>Sep-25</t>
        </is>
      </c>
      <c r="S197" s="18" t="inlineStr">
        <is>
          <t>Oct-25</t>
        </is>
      </c>
      <c r="T197" s="18" t="inlineStr">
        <is>
          <t>Nov-25</t>
        </is>
      </c>
      <c r="U197" s="18" t="inlineStr">
        <is>
          <t>Dec-25</t>
        </is>
      </c>
      <c r="V197" s="18" t="inlineStr">
        <is>
          <t>Jan-26</t>
        </is>
      </c>
      <c r="W197" s="18" t="inlineStr">
        <is>
          <t>Feb-26</t>
        </is>
      </c>
      <c r="X197" s="18" t="inlineStr">
        <is>
          <t>Mar-26</t>
        </is>
      </c>
      <c r="Y197" s="18" t="inlineStr">
        <is>
          <t>Apr-26</t>
        </is>
      </c>
      <c r="Z197" s="18" t="inlineStr">
        <is>
          <t>May-26</t>
        </is>
      </c>
      <c r="AA197" s="18" t="inlineStr">
        <is>
          <t>Jun-26</t>
        </is>
      </c>
    </row>
    <row r="198" ht="15" customHeight="1">
      <c r="A198" s="27" t="inlineStr">
        <is>
          <t>Contractors - Client Hours</t>
        </is>
      </c>
      <c r="C198" s="29">
        <f>C18</f>
        <v>19394.040000000001</v>
      </c>
      <c r="D198" s="29">
        <f>D18</f>
        <v>18266.330000000002</v>
      </c>
      <c r="E198" s="29">
        <f>E18</f>
        <v>20915.869999999999</v>
      </c>
      <c r="F198" s="29">
        <f>F18</f>
        <v>20818.060000000001</v>
      </c>
      <c r="G198" s="29">
        <f>G18</f>
        <v>22253.110000000001</v>
      </c>
      <c r="H198" s="29">
        <f>H18</f>
        <v>21849.939999999999</v>
      </c>
      <c r="I198" s="29">
        <f>I18</f>
        <v>18495.84</v>
      </c>
      <c r="J198" s="29">
        <f>J18</f>
        <v>17320.709999999999</v>
      </c>
      <c r="K198" s="29">
        <f>K18</f>
        <v>19492.66</v>
      </c>
      <c r="L198" s="29">
        <f>L18</f>
        <v>18326.41</v>
      </c>
      <c r="M198" s="29">
        <f>M18</f>
        <v>20629.360000000001</v>
      </c>
      <c r="N198" s="29">
        <f>N18</f>
        <v>21453.48</v>
      </c>
      <c r="O198" s="29">
        <f>O18</f>
        <v>21869.939999999999</v>
      </c>
      <c r="P198" s="29">
        <f>P18</f>
        <v>21439.57</v>
      </c>
      <c r="Q198" s="29">
        <f>Q18</f>
        <v>25115.950000000001</v>
      </c>
      <c r="R198" s="29">
        <f>R18</f>
        <v>24359.34</v>
      </c>
      <c r="S198" s="29">
        <f>S18</f>
        <v>24557.02</v>
      </c>
      <c r="T198" s="29">
        <f>T18</f>
        <v>23570.34</v>
      </c>
      <c r="U198" s="29">
        <f>U18</f>
        <v>21932.709999999999</v>
      </c>
      <c r="V198" s="29">
        <f>V18</f>
        <v>21068.200000000001</v>
      </c>
      <c r="W198" s="29">
        <f>W18</f>
        <v>24105.049999999999</v>
      </c>
      <c r="X198" s="29">
        <f>X18</f>
        <v>21329.32</v>
      </c>
      <c r="Y198" s="29">
        <f>Y18</f>
        <v>23432.68</v>
      </c>
      <c r="Z198" s="29">
        <f>Z18</f>
        <v>22967.150000000001</v>
      </c>
      <c r="AA198" s="29">
        <f>AA18</f>
        <v>22258.75</v>
      </c>
    </row>
    <row r="199" ht="15" customHeight="1">
      <c r="A199" s="27" t="inlineStr">
        <is>
          <t>Contractors - Idle Time</t>
        </is>
      </c>
      <c r="C199" s="29">
        <f>C19</f>
        <v>1166.3599999999999</v>
      </c>
      <c r="D199" s="29">
        <f>D19</f>
        <v>817.49000000000001</v>
      </c>
      <c r="E199" s="29">
        <f>E19</f>
        <v>899.15999999999997</v>
      </c>
      <c r="F199" s="29">
        <f>F19</f>
        <v>668.05999999999995</v>
      </c>
      <c r="G199" s="29">
        <f>G19</f>
        <v>763.65999999999997</v>
      </c>
      <c r="H199" s="29">
        <f>H19</f>
        <v>1547.3199999999999</v>
      </c>
      <c r="I199" s="29">
        <f>I19</f>
        <v>1484.27</v>
      </c>
      <c r="J199" s="29">
        <f>J19</f>
        <v>985.85000000000002</v>
      </c>
      <c r="K199" s="29">
        <f>K19</f>
        <v>856.37</v>
      </c>
      <c r="L199" s="29">
        <f>L19</f>
        <v>1072.8499999999999</v>
      </c>
      <c r="M199" s="29">
        <f>M19</f>
        <v>617.86000000000001</v>
      </c>
      <c r="N199" s="29">
        <f>N19</f>
        <v>534.88999999999999</v>
      </c>
      <c r="O199" s="29">
        <f>O19</f>
        <v>732.63</v>
      </c>
      <c r="P199" s="29">
        <f>P19</f>
        <v>1252.22</v>
      </c>
      <c r="Q199" s="29">
        <f>Q19</f>
        <v>1004.05</v>
      </c>
      <c r="R199" s="29">
        <f>R19</f>
        <v>1130.9300000000001</v>
      </c>
      <c r="S199" s="29">
        <f>S19</f>
        <v>974.10000000000002</v>
      </c>
      <c r="T199" s="29">
        <f>T19</f>
        <v>1300.1800000000001</v>
      </c>
      <c r="U199" s="29">
        <f>U19</f>
        <v>1260.22</v>
      </c>
      <c r="V199" s="29">
        <f>V19</f>
        <v>1062.8099999999999</v>
      </c>
      <c r="W199" s="29">
        <f>W19</f>
        <v>1311.04</v>
      </c>
      <c r="X199" s="29">
        <f>X19</f>
        <v>1443.6800000000001</v>
      </c>
      <c r="Y199" s="29">
        <f>Y19</f>
        <v>1059.3900000000001</v>
      </c>
      <c r="Z199" s="29">
        <f>Z19</f>
        <v>1295.6500000000001</v>
      </c>
      <c r="AA199" s="29">
        <f>AA19</f>
        <v>701.82000000000005</v>
      </c>
    </row>
    <row r="200" ht="15" customHeight="1">
      <c r="A200" s="27" t="inlineStr">
        <is>
          <t>Contractors - Others</t>
        </is>
      </c>
      <c r="C200" s="29">
        <f>C20</f>
        <v>7834.29</v>
      </c>
      <c r="D200" s="29">
        <f>D20</f>
        <v>6064.6999999999998</v>
      </c>
      <c r="E200" s="29">
        <f>E20</f>
        <v>4091.3400000000001</v>
      </c>
      <c r="F200" s="29">
        <f>F20</f>
        <v>3818.8600000000001</v>
      </c>
      <c r="G200" s="29">
        <f>G20</f>
        <v>3589.5</v>
      </c>
      <c r="H200" s="29">
        <f>H20</f>
        <v>3313.2399999999998</v>
      </c>
      <c r="I200" s="29">
        <f>I20</f>
        <v>3575.3200000000002</v>
      </c>
      <c r="J200" s="29">
        <f>J20</f>
        <v>7481.9200000000001</v>
      </c>
      <c r="K200" s="29">
        <f>K20</f>
        <v>3575.3200000000002</v>
      </c>
      <c r="L200" s="29">
        <f>L20</f>
        <v>2981.4099999999999</v>
      </c>
      <c r="M200" s="29">
        <f>M20</f>
        <v>3675.9099999999999</v>
      </c>
      <c r="N200" s="29">
        <f>N20</f>
        <v>3134.7199999999998</v>
      </c>
      <c r="O200" s="29">
        <f>O20</f>
        <v>2707.3000000000002</v>
      </c>
      <c r="P200" s="29">
        <f>P20</f>
        <v>2899.9099999999999</v>
      </c>
      <c r="Q200" s="29">
        <f>Q20</f>
        <v>4162.3800000000001</v>
      </c>
      <c r="R200" s="29">
        <f>R20</f>
        <v>3519.6399999999999</v>
      </c>
      <c r="S200" s="29">
        <f>S20</f>
        <v>3252.98</v>
      </c>
      <c r="T200" s="29">
        <f>T20</f>
        <v>3797.6100000000001</v>
      </c>
      <c r="U200" s="29">
        <f>U20</f>
        <v>4713.4399999999996</v>
      </c>
      <c r="V200" s="29">
        <f>V20</f>
        <v>6541.9899999999998</v>
      </c>
      <c r="W200" s="29">
        <f>W20</f>
        <v>3330.0300000000002</v>
      </c>
      <c r="X200" s="29">
        <f>X20</f>
        <v>3372.9499999999998</v>
      </c>
      <c r="Y200" s="29">
        <f>Y20</f>
        <v>4847.3199999999997</v>
      </c>
      <c r="Z200" s="29">
        <f>Z20</f>
        <v>3915.98</v>
      </c>
      <c r="AA200" s="29">
        <f>AA20</f>
        <v>3525.4000000000001</v>
      </c>
    </row>
    <row r="201" ht="15" customHeight="1">
      <c r="A201" s="27" t="inlineStr">
        <is>
          <t>VA Incentives</t>
        </is>
      </c>
      <c r="C201" s="29">
        <f>C21</f>
        <v>247.84999999999999</v>
      </c>
      <c r="D201" s="29">
        <f>D21</f>
        <v>354.06</v>
      </c>
      <c r="E201" s="29">
        <f>E21</f>
        <v>309.98000000000002</v>
      </c>
      <c r="F201" s="29">
        <f>F21</f>
        <v>50.560000000000002</v>
      </c>
      <c r="G201" s="29">
        <f>G21</f>
        <v>409.58999999999997</v>
      </c>
      <c r="H201" s="29">
        <f>H21</f>
        <v>126.09999999999999</v>
      </c>
      <c r="I201" s="29">
        <f>I21</f>
        <v>278.27999999999997</v>
      </c>
      <c r="J201" s="29">
        <f>J21</f>
        <v>257.19999999999999</v>
      </c>
      <c r="K201" s="29">
        <f>K21</f>
        <v>252.19</v>
      </c>
      <c r="L201" s="29">
        <f>L21</f>
        <v>111.06999999999999</v>
      </c>
      <c r="M201" s="29">
        <f>M21</f>
        <v>476.68000000000001</v>
      </c>
      <c r="N201" s="29">
        <f>N21</f>
        <v>85.670000000000002</v>
      </c>
      <c r="O201" s="29">
        <f>O21</f>
        <v>206.88999999999999</v>
      </c>
      <c r="P201" s="29">
        <f>P21</f>
        <v>714.82000000000005</v>
      </c>
      <c r="Q201" s="29">
        <f>Q21</f>
        <v>297.30000000000001</v>
      </c>
      <c r="R201" s="29">
        <f>R21</f>
        <v>105.81</v>
      </c>
      <c r="S201" s="29">
        <f>S21</f>
        <v>472.44999999999999</v>
      </c>
      <c r="T201" s="29">
        <f>T21</f>
        <v>242.06999999999999</v>
      </c>
      <c r="U201" s="29">
        <f>U21</f>
        <v>140.88</v>
      </c>
      <c r="V201" s="29">
        <f>V21</f>
        <v>466.66000000000003</v>
      </c>
      <c r="W201" s="29">
        <f>W21</f>
        <v>302.49000000000001</v>
      </c>
      <c r="X201" s="29">
        <f>X21</f>
        <v>116.64</v>
      </c>
      <c r="Y201" s="29">
        <f>Y21</f>
        <v>711.88</v>
      </c>
      <c r="Z201" s="29">
        <f>Z21</f>
        <v>157.59</v>
      </c>
      <c r="AA201" s="29">
        <f>AA21</f>
        <v>236.81</v>
      </c>
    </row>
    <row r="202" ht="15" customHeight="1">
      <c r="A202" s="28" t="inlineStr">
        <is>
          <t>Total Direct Labor</t>
        </is>
      </c>
      <c r="C202" s="22">
        <f>SUM(C198:C201)</f>
        <v>28642.540000000001</v>
      </c>
      <c r="D202" s="22">
        <f>SUM(D198:D201)</f>
        <v>25502.580000000005</v>
      </c>
      <c r="E202" s="22">
        <f>SUM(E198:E201)</f>
        <v>26216.349999999999</v>
      </c>
      <c r="F202" s="22">
        <f>SUM(F198:F201)</f>
        <v>25355.540000000005</v>
      </c>
      <c r="G202" s="22">
        <f>SUM(G198:G201)</f>
        <v>27015.860000000001</v>
      </c>
      <c r="H202" s="22">
        <f>SUM(H198:H201)</f>
        <v>26836.599999999999</v>
      </c>
      <c r="I202" s="22">
        <f>SUM(I198:I201)</f>
        <v>23833.709999999999</v>
      </c>
      <c r="J202" s="22">
        <f>SUM(J198:J201)</f>
        <v>26045.679999999997</v>
      </c>
      <c r="K202" s="22">
        <f>SUM(K198:K201)</f>
        <v>24176.539999999997</v>
      </c>
      <c r="L202" s="22">
        <f>SUM(L198:L201)</f>
        <v>22491.739999999998</v>
      </c>
      <c r="M202" s="22">
        <f>SUM(M198:M201)</f>
        <v>25399.810000000001</v>
      </c>
      <c r="N202" s="22">
        <f>SUM(N198:N201)</f>
        <v>25208.759999999998</v>
      </c>
      <c r="O202" s="22">
        <f>SUM(O198:O201)</f>
        <v>25516.759999999998</v>
      </c>
      <c r="P202" s="22">
        <f>SUM(P198:P201)</f>
        <v>26306.52</v>
      </c>
      <c r="Q202" s="22">
        <f>SUM(Q198:Q201)</f>
        <v>30579.68</v>
      </c>
      <c r="R202" s="22">
        <f>SUM(R198:R201)</f>
        <v>29115.720000000001</v>
      </c>
      <c r="S202" s="22">
        <f>SUM(S198:S201)</f>
        <v>29256.549999999999</v>
      </c>
      <c r="T202" s="22">
        <f>SUM(T198:T201)</f>
        <v>28910.200000000001</v>
      </c>
      <c r="U202" s="22">
        <f>SUM(U198:U201)</f>
        <v>28047.25</v>
      </c>
      <c r="V202" s="22">
        <f>SUM(V198:V201)</f>
        <v>29139.66</v>
      </c>
      <c r="W202" s="22">
        <f>SUM(W198:W201)</f>
        <v>29048.610000000001</v>
      </c>
      <c r="X202" s="22">
        <f>SUM(X198:X201)</f>
        <v>26262.59</v>
      </c>
      <c r="Y202" s="22">
        <f>SUM(Y198:Y201)</f>
        <v>30051.27</v>
      </c>
      <c r="Z202" s="22">
        <f>SUM(Z198:Z201)</f>
        <v>28336.370000000003</v>
      </c>
      <c r="AA202" s="22">
        <f>SUM(AA198:AA201)</f>
        <v>26722.780000000002</v>
      </c>
    </row>
    <row r="203" ht="15" customHeight="1">
      <c r="A203" s="27" t="inlineStr">
        <is>
          <t>OPS Team - Basic</t>
        </is>
      </c>
      <c r="C203" s="29">
        <f>C36</f>
        <v>11779.549999999999</v>
      </c>
      <c r="D203" s="29">
        <f>D36</f>
        <v>12032.110000000001</v>
      </c>
      <c r="E203" s="29">
        <f>E36</f>
        <v>15357.32</v>
      </c>
      <c r="F203" s="29">
        <f>F36</f>
        <v>14044.209999999999</v>
      </c>
      <c r="G203" s="29">
        <f>G36</f>
        <v>14640.15</v>
      </c>
      <c r="H203" s="29">
        <f>H36</f>
        <v>15409.309999999999</v>
      </c>
      <c r="I203" s="29">
        <f>I36</f>
        <v>12769.290000000001</v>
      </c>
      <c r="J203" s="29">
        <f>J36</f>
        <v>11111.23</v>
      </c>
      <c r="K203" s="29">
        <f>K36</f>
        <v>12139.790000000001</v>
      </c>
      <c r="L203" s="29">
        <f>L36</f>
        <v>10917.120000000001</v>
      </c>
      <c r="M203" s="29">
        <f>M36</f>
        <v>10277.49</v>
      </c>
      <c r="N203" s="29">
        <f>N36</f>
        <v>11593.370000000001</v>
      </c>
      <c r="O203" s="29">
        <f>O36</f>
        <v>9872.6299999999992</v>
      </c>
      <c r="P203" s="29">
        <f>P36</f>
        <v>12363.799999999999</v>
      </c>
      <c r="Q203" s="29">
        <f>Q36</f>
        <v>13595.440000000001</v>
      </c>
      <c r="R203" s="29">
        <f>R36</f>
        <v>11428.59</v>
      </c>
      <c r="S203" s="29">
        <f>S36</f>
        <v>11668.9</v>
      </c>
      <c r="T203" s="29">
        <f>T36</f>
        <v>11286.92</v>
      </c>
      <c r="U203" s="29">
        <f>U36</f>
        <v>11367.440000000001</v>
      </c>
      <c r="V203" s="29">
        <f>V36</f>
        <v>11782.139999999999</v>
      </c>
      <c r="W203" s="29">
        <f>W36</f>
        <v>12915.24</v>
      </c>
      <c r="X203" s="29">
        <f>X36</f>
        <v>11808.969999999999</v>
      </c>
      <c r="Y203" s="29">
        <f>Y36</f>
        <v>12966.780000000001</v>
      </c>
      <c r="Z203" s="29">
        <f>Z36</f>
        <v>11805.139999999999</v>
      </c>
      <c r="AA203" s="29">
        <f>AA36</f>
        <v>12508.209999999999</v>
      </c>
    </row>
    <row r="204" ht="15" customHeight="1">
      <c r="A204" s="27" t="inlineStr">
        <is>
          <t>OPS Team - Other Benefits</t>
        </is>
      </c>
      <c r="C204" s="29">
        <f>C37</f>
        <v>1490.1400000000001</v>
      </c>
      <c r="D204" s="29">
        <f>D37</f>
        <v>1563.6800000000001</v>
      </c>
      <c r="E204" s="29">
        <f>E37</f>
        <v>1827.6600000000001</v>
      </c>
      <c r="F204" s="29">
        <f>F37</f>
        <v>2332.1599999999999</v>
      </c>
      <c r="G204" s="29">
        <f>G37</f>
        <v>3929.96</v>
      </c>
      <c r="H204" s="29">
        <f>H37</f>
        <v>2043.02</v>
      </c>
      <c r="I204" s="29">
        <f>I37</f>
        <v>1038.3699999999999</v>
      </c>
      <c r="J204" s="29">
        <f>J37</f>
        <v>5453.4799999999996</v>
      </c>
      <c r="K204" s="29">
        <f>K37</f>
        <v>3421.4499999999998</v>
      </c>
      <c r="L204" s="29">
        <f>L37</f>
        <v>2730.6999999999998</v>
      </c>
      <c r="M204" s="29">
        <f>M37</f>
        <v>3818.6199999999999</v>
      </c>
      <c r="N204" s="29">
        <f>N37</f>
        <v>1910.73</v>
      </c>
      <c r="O204" s="29">
        <f>O37</f>
        <v>2083.8400000000001</v>
      </c>
      <c r="P204" s="29">
        <f>P37</f>
        <v>1658.96</v>
      </c>
      <c r="Q204" s="29">
        <f>Q37</f>
        <v>946.52999999999997</v>
      </c>
      <c r="R204" s="29">
        <f>R37</f>
        <v>2249.3499999999999</v>
      </c>
      <c r="S204" s="29">
        <f>S37</f>
        <v>2621.6399999999999</v>
      </c>
      <c r="T204" s="29">
        <f>T37</f>
        <v>2197.0100000000002</v>
      </c>
      <c r="U204" s="29">
        <f>U37</f>
        <v>2255.6599999999999</v>
      </c>
      <c r="V204" s="29">
        <f>V37</f>
        <v>6460.8100000000004</v>
      </c>
      <c r="W204" s="29">
        <f>W37</f>
        <v>3284.9000000000001</v>
      </c>
      <c r="X204" s="29">
        <f>X37</f>
        <v>2781.52</v>
      </c>
      <c r="Y204" s="29">
        <f>Y37</f>
        <v>2659.46</v>
      </c>
      <c r="Z204" s="29">
        <f>Z37</f>
        <v>3408.6100000000001</v>
      </c>
      <c r="AA204" s="29">
        <f>AA37</f>
        <v>1917.6300000000001</v>
      </c>
    </row>
    <row r="205" ht="15" customHeight="1">
      <c r="A205" s="27" t="inlineStr">
        <is>
          <t>OPS - Incentives</t>
        </is>
      </c>
      <c r="C205" s="29">
        <f>C38</f>
        <v>116.69</v>
      </c>
      <c r="D205" s="29">
        <f>D38</f>
        <v>1832.0799999999999</v>
      </c>
      <c r="E205" s="29">
        <f>E38</f>
        <v>200.16</v>
      </c>
      <c r="F205" s="29">
        <f>F38</f>
        <v>203.75</v>
      </c>
      <c r="G205" s="29">
        <f>G38</f>
        <v>1767.49</v>
      </c>
      <c r="H205" s="29">
        <f>H38</f>
        <v>160.09</v>
      </c>
      <c r="I205" s="29">
        <f>I38</f>
        <v>68.640000000000001</v>
      </c>
      <c r="J205" s="29">
        <f>J38</f>
        <v>1110.8</v>
      </c>
      <c r="K205" s="29">
        <f>K38</f>
        <v>43.530000000000001</v>
      </c>
      <c r="L205" s="29">
        <f>L38</f>
        <v>193.30000000000001</v>
      </c>
      <c r="M205" s="29">
        <f>M38</f>
        <v>1150.3299999999999</v>
      </c>
      <c r="N205" s="29">
        <f>N38</f>
        <v>54.350000000000001</v>
      </c>
      <c r="O205" s="29">
        <f>O38</f>
        <v>78.760000000000005</v>
      </c>
      <c r="P205" s="29">
        <f>P38</f>
        <v>1347.0899999999999</v>
      </c>
      <c r="Q205" s="29">
        <f>Q38</f>
        <v>150.44</v>
      </c>
      <c r="R205" s="29">
        <f>R38</f>
        <v>119.76000000000001</v>
      </c>
      <c r="S205" s="29">
        <f>S38</f>
        <v>1783.78</v>
      </c>
      <c r="T205" s="29">
        <f>T38</f>
        <v>82.180000000000007</v>
      </c>
      <c r="U205" s="29">
        <f>U38</f>
        <v>152.40000000000001</v>
      </c>
      <c r="V205" s="29">
        <f>V38</f>
        <v>1741.25</v>
      </c>
      <c r="W205" s="29">
        <f>W38</f>
        <v>320.64999999999998</v>
      </c>
      <c r="X205" s="29">
        <f>X38</f>
        <v>152.34</v>
      </c>
      <c r="Y205" s="29">
        <f>Y38</f>
        <v>1454.05</v>
      </c>
      <c r="Z205" s="29">
        <f>Z38</f>
        <v>309.75</v>
      </c>
      <c r="AA205" s="29">
        <f>AA38</f>
        <v>427.85000000000002</v>
      </c>
    </row>
    <row r="206" ht="15" customHeight="1">
      <c r="A206" s="27" t="inlineStr">
        <is>
          <t>Salaries and Wages</t>
        </is>
      </c>
      <c r="C206" s="29">
        <f>C39</f>
        <v>3601.5799999999999</v>
      </c>
      <c r="D206" s="29">
        <f>D39</f>
        <v>2851.5799999999999</v>
      </c>
      <c r="E206" s="29">
        <f>E39</f>
        <v>2101.5799999999999</v>
      </c>
      <c r="F206" s="29">
        <f>F39</f>
        <v>2101.5799999999999</v>
      </c>
      <c r="G206" s="29">
        <f>G39</f>
        <v>2101.5799999999999</v>
      </c>
      <c r="H206" s="29">
        <f>H39</f>
        <v>2101.5799999999999</v>
      </c>
      <c r="I206" s="29">
        <f>I39</f>
        <v>2101.5799999999999</v>
      </c>
      <c r="J206" s="29">
        <f>J39</f>
        <v>2101.5799999999999</v>
      </c>
      <c r="K206" s="29">
        <f>K39</f>
        <v>2101.5799999999999</v>
      </c>
      <c r="L206" s="29">
        <f>L39</f>
        <v>2101.5799999999999</v>
      </c>
      <c r="M206" s="29">
        <f>M39</f>
        <v>2101.5799999999999</v>
      </c>
      <c r="N206" s="29">
        <f>N39</f>
        <v>2101.5799999999999</v>
      </c>
      <c r="O206" s="29">
        <f>O39</f>
        <v>2101.5799999999999</v>
      </c>
      <c r="P206" s="29">
        <f>P39</f>
        <v>2101.5799999999999</v>
      </c>
      <c r="Q206" s="29">
        <f>Q39</f>
        <v>2101.5799999999999</v>
      </c>
      <c r="R206" s="29">
        <f>R39</f>
        <v>2101.5799999999999</v>
      </c>
      <c r="S206" s="29">
        <f>S39</f>
        <v>2101.5900000000001</v>
      </c>
      <c r="T206" s="29">
        <f>T39</f>
        <v>2101.5799999999999</v>
      </c>
      <c r="U206" s="29">
        <f>U39</f>
        <v>2101.5799999999999</v>
      </c>
      <c r="V206" s="29">
        <f>V39</f>
        <v>2101.5799999999999</v>
      </c>
      <c r="W206" s="29">
        <f>W39</f>
        <v>2101.5799999999999</v>
      </c>
      <c r="X206" s="29">
        <f>X39</f>
        <v>2101.5799999999999</v>
      </c>
      <c r="Y206" s="29">
        <f>Y39</f>
        <v>2101.5799999999999</v>
      </c>
      <c r="Z206" s="29">
        <f>Z39</f>
        <v>2101.5799999999999</v>
      </c>
      <c r="AA206" s="29">
        <f>AA39</f>
        <v>2101.5799999999999</v>
      </c>
    </row>
    <row r="207" ht="15" customHeight="1">
      <c r="A207" s="27" t="inlineStr">
        <is>
          <t>Owner's Pay</t>
        </is>
      </c>
      <c r="C207" s="29">
        <f>C40</f>
        <v>3564.9200000000001</v>
      </c>
      <c r="D207" s="29">
        <f>D40</f>
        <v>3564.9200000000001</v>
      </c>
      <c r="E207" s="29">
        <f>E40</f>
        <v>3564.9200000000001</v>
      </c>
      <c r="F207" s="29">
        <f>F40</f>
        <v>3564.9200000000001</v>
      </c>
      <c r="G207" s="29">
        <f>G40</f>
        <v>3564.9200000000001</v>
      </c>
      <c r="H207" s="29">
        <f>H40</f>
        <v>3564.9200000000001</v>
      </c>
      <c r="I207" s="29">
        <f>I40</f>
        <v>3564.9200000000001</v>
      </c>
      <c r="J207" s="29">
        <f>J40</f>
        <v>3564.9200000000001</v>
      </c>
      <c r="K207" s="29">
        <f>K40</f>
        <v>3564.9200000000001</v>
      </c>
      <c r="L207" s="29">
        <f>L40</f>
        <v>3564.9200000000001</v>
      </c>
      <c r="M207" s="29">
        <f>M40</f>
        <v>3564.9200000000001</v>
      </c>
      <c r="N207" s="29">
        <f>N40</f>
        <v>3564.9200000000001</v>
      </c>
      <c r="O207" s="29">
        <f>O40</f>
        <v>3564.9200000000001</v>
      </c>
      <c r="P207" s="29">
        <f>P40</f>
        <v>3564.9200000000001</v>
      </c>
      <c r="Q207" s="29">
        <f>Q40</f>
        <v>3564.9200000000001</v>
      </c>
      <c r="R207" s="29">
        <f>R40</f>
        <v>3564.9200000000001</v>
      </c>
      <c r="S207" s="29">
        <f>S40</f>
        <v>3564.9099999999999</v>
      </c>
      <c r="T207" s="29">
        <f>T40</f>
        <v>8564.9200000000001</v>
      </c>
      <c r="U207" s="29">
        <f>U40</f>
        <v>8564.9200000000001</v>
      </c>
      <c r="V207" s="29">
        <f>V40</f>
        <v>5000</v>
      </c>
      <c r="W207" s="29">
        <f>W40</f>
        <v>5000</v>
      </c>
      <c r="X207" s="29">
        <f>X40</f>
        <v>5000</v>
      </c>
      <c r="Y207" s="29">
        <f>Y40</f>
        <v>5000</v>
      </c>
      <c r="Z207" s="29">
        <f>Z40</f>
        <v>5000</v>
      </c>
      <c r="AA207" s="29">
        <f>AA40</f>
        <v>5000</v>
      </c>
    </row>
    <row r="208" ht="15" customHeight="1">
      <c r="A208" s="27" t="inlineStr">
        <is>
          <t>VA Pay - Smart VA Academy</t>
        </is>
      </c>
      <c r="C208" s="29">
        <f>C41</f>
        <v>590.04999999999995</v>
      </c>
      <c r="D208" s="29">
        <f>D41</f>
        <v>437.05000000000001</v>
      </c>
      <c r="E208" s="29">
        <f>E41</f>
        <v>565.24000000000001</v>
      </c>
      <c r="F208" s="29">
        <f>F41</f>
        <v>481.08999999999997</v>
      </c>
      <c r="G208" s="29">
        <f>G41</f>
        <v>396.10000000000002</v>
      </c>
      <c r="H208" s="29">
        <f>H41</f>
        <v>529.38</v>
      </c>
      <c r="I208" s="29">
        <f>I41</f>
        <v>441.61000000000001</v>
      </c>
      <c r="J208" s="29">
        <f>J41</f>
        <v>37.380000000000003</v>
      </c>
      <c r="K208" s="29">
        <f>K41</f>
        <v>336.94999999999999</v>
      </c>
      <c r="L208" s="29">
        <f>L41</f>
        <v>137.88999999999999</v>
      </c>
      <c r="M208" s="29">
        <f>M41</f>
        <v>217.37</v>
      </c>
      <c r="N208" s="29">
        <f>N41</f>
        <v>373.36000000000001</v>
      </c>
      <c r="O208" s="29">
        <f>O41</f>
        <v>366.36000000000001</v>
      </c>
      <c r="P208" s="29">
        <f>P41</f>
        <v>332.10000000000002</v>
      </c>
      <c r="Q208" s="29">
        <f>Q41</f>
        <v>227.72999999999999</v>
      </c>
      <c r="R208" s="29">
        <f>R41</f>
        <v>358.54000000000002</v>
      </c>
      <c r="S208" s="29">
        <f>S41</f>
        <v>181.90000000000001</v>
      </c>
      <c r="T208" s="29">
        <f>T41</f>
        <v>194.91999999999999</v>
      </c>
      <c r="U208" s="29">
        <f>U41</f>
        <v>65.269999999999996</v>
      </c>
      <c r="V208" s="29">
        <f>V41</f>
        <v>87.129999999999995</v>
      </c>
      <c r="W208" s="29">
        <f>W41</f>
        <v>158.24000000000001</v>
      </c>
      <c r="X208" s="29">
        <f>X41</f>
        <v>62.299999999999997</v>
      </c>
      <c r="Y208" s="29">
        <f>Y41</f>
        <v>106.41</v>
      </c>
      <c r="Z208" s="29">
        <f>Z41</f>
        <v>2.48</v>
      </c>
      <c r="AA208" s="29">
        <f>AA41</f>
        <v>0</v>
      </c>
    </row>
    <row r="209" ht="15" customHeight="1">
      <c r="A209" s="27" t="inlineStr">
        <is>
          <t>Retirement Expense</t>
        </is>
      </c>
      <c r="C209" s="29">
        <f>C42</f>
        <v>214.97999999999999</v>
      </c>
      <c r="D209" s="29">
        <f>D42</f>
        <v>192.47999999999999</v>
      </c>
      <c r="E209" s="29">
        <f>E42</f>
        <v>169.97999999999999</v>
      </c>
      <c r="F209" s="29">
        <f>F42</f>
        <v>169.97999999999999</v>
      </c>
      <c r="G209" s="29">
        <f>G42</f>
        <v>169.97999999999999</v>
      </c>
      <c r="H209" s="29">
        <f>H42</f>
        <v>169.97999999999999</v>
      </c>
      <c r="I209" s="29">
        <f>I42</f>
        <v>169.97999999999999</v>
      </c>
      <c r="J209" s="29">
        <f>J42</f>
        <v>169.97999999999999</v>
      </c>
      <c r="K209" s="29">
        <f>K42</f>
        <v>169.97999999999999</v>
      </c>
      <c r="L209" s="29">
        <f>L42</f>
        <v>169.97999999999999</v>
      </c>
      <c r="M209" s="29">
        <f>M42</f>
        <v>169.97999999999999</v>
      </c>
      <c r="N209" s="29">
        <f>N42</f>
        <v>169.97999999999999</v>
      </c>
      <c r="O209" s="29">
        <f>O42</f>
        <v>169.97999999999999</v>
      </c>
      <c r="P209" s="29">
        <f>P42</f>
        <v>169.97999999999999</v>
      </c>
      <c r="Q209" s="29">
        <f>Q42</f>
        <v>169.97999999999999</v>
      </c>
      <c r="R209" s="29">
        <f>R42</f>
        <v>169.97999999999999</v>
      </c>
      <c r="S209" s="29">
        <f>S42</f>
        <v>169.97999999999999</v>
      </c>
      <c r="T209" s="29">
        <f>T42</f>
        <v>319.98000000000002</v>
      </c>
      <c r="U209" s="29">
        <f>U42</f>
        <v>319.98000000000002</v>
      </c>
      <c r="V209" s="29">
        <f>V42</f>
        <v>213.03999999999999</v>
      </c>
      <c r="W209" s="29">
        <f>W42</f>
        <v>213.03999999999999</v>
      </c>
      <c r="X209" s="29">
        <f>X42</f>
        <v>213.03999999999999</v>
      </c>
      <c r="Y209" s="29">
        <f>Y42</f>
        <v>213.03999999999999</v>
      </c>
      <c r="Z209" s="29">
        <f>Z42</f>
        <v>213.03999999999999</v>
      </c>
      <c r="AA209" s="29">
        <f>AA42</f>
        <v>213.03999999999999</v>
      </c>
    </row>
    <row r="210" ht="15" customHeight="1">
      <c r="A210" s="27" t="inlineStr">
        <is>
          <t>Payroll Tax</t>
        </is>
      </c>
      <c r="C210" s="29">
        <f>C43</f>
        <v>548.24000000000001</v>
      </c>
      <c r="D210" s="29">
        <f>D43</f>
        <v>490.87</v>
      </c>
      <c r="E210" s="29">
        <f>E43</f>
        <v>433.5</v>
      </c>
      <c r="F210" s="29">
        <f>F43</f>
        <v>433.5</v>
      </c>
      <c r="G210" s="29">
        <f>G43</f>
        <v>433.5</v>
      </c>
      <c r="H210" s="29">
        <f>H43</f>
        <v>433.5</v>
      </c>
      <c r="I210" s="29">
        <f>I43</f>
        <v>433.5</v>
      </c>
      <c r="J210" s="29">
        <f>J43</f>
        <v>580.82000000000005</v>
      </c>
      <c r="K210" s="29">
        <f>K43</f>
        <v>580.04999999999995</v>
      </c>
      <c r="L210" s="29">
        <f>L43</f>
        <v>525.53999999999996</v>
      </c>
      <c r="M210" s="29">
        <f>M43</f>
        <v>479.70999999999998</v>
      </c>
      <c r="N210" s="29">
        <f>N43</f>
        <v>445.37</v>
      </c>
      <c r="O210" s="29">
        <f>O43</f>
        <v>433.5</v>
      </c>
      <c r="P210" s="29">
        <f>P43</f>
        <v>433.5</v>
      </c>
      <c r="Q210" s="29">
        <f>Q43</f>
        <v>433.5</v>
      </c>
      <c r="R210" s="29">
        <f>R43</f>
        <v>433.5</v>
      </c>
      <c r="S210" s="29">
        <f>S43</f>
        <v>433.5</v>
      </c>
      <c r="T210" s="29">
        <f>T43</f>
        <v>816</v>
      </c>
      <c r="U210" s="29">
        <f>U43</f>
        <v>816</v>
      </c>
      <c r="V210" s="29">
        <f>V43</f>
        <v>727.91999999999996</v>
      </c>
      <c r="W210" s="29">
        <f>W43</f>
        <v>689.91999999999996</v>
      </c>
      <c r="X210" s="29">
        <f>X43</f>
        <v>597.91999999999996</v>
      </c>
      <c r="Y210" s="29">
        <f>Y43</f>
        <v>545.97000000000003</v>
      </c>
      <c r="Z210" s="29">
        <f>Z43</f>
        <v>553.66999999999996</v>
      </c>
      <c r="AA210" s="29">
        <f>AA43</f>
        <v>543.27999999999997</v>
      </c>
    </row>
    <row r="211" ht="15" customHeight="1">
      <c r="A211" s="27" t="inlineStr">
        <is>
          <t>VA Pay - Marketing</t>
        </is>
      </c>
      <c r="C211" s="29">
        <f>C31</f>
        <v>4510.0799999999999</v>
      </c>
      <c r="D211" s="29">
        <f>D31</f>
        <v>4160.8900000000003</v>
      </c>
      <c r="E211" s="29">
        <f>E31</f>
        <v>4387.96</v>
      </c>
      <c r="F211" s="29">
        <f>F31</f>
        <v>3850.96</v>
      </c>
      <c r="G211" s="29">
        <f>G31</f>
        <v>4025.9200000000001</v>
      </c>
      <c r="H211" s="29">
        <f>H31</f>
        <v>3198.27</v>
      </c>
      <c r="I211" s="29">
        <f>I31</f>
        <v>2695.1900000000001</v>
      </c>
      <c r="J211" s="29">
        <f>J31</f>
        <v>2513.9699999999998</v>
      </c>
      <c r="K211" s="29">
        <f>K31</f>
        <v>3010.2199999999998</v>
      </c>
      <c r="L211" s="29">
        <f>L31</f>
        <v>2861.52</v>
      </c>
      <c r="M211" s="29">
        <f>M31</f>
        <v>2868.7399999999998</v>
      </c>
      <c r="N211" s="29">
        <f>N31</f>
        <v>3063.1700000000001</v>
      </c>
      <c r="O211" s="29">
        <f>O31</f>
        <v>3158.7800000000002</v>
      </c>
      <c r="P211" s="29">
        <f>P31</f>
        <v>3552.2800000000002</v>
      </c>
      <c r="Q211" s="29">
        <f>Q31</f>
        <v>3706.0799999999999</v>
      </c>
      <c r="R211" s="29">
        <f>R31</f>
        <v>2873.1700000000001</v>
      </c>
      <c r="S211" s="29">
        <f>S31</f>
        <v>3028.4400000000001</v>
      </c>
      <c r="T211" s="29">
        <f>T31</f>
        <v>3159.0500000000002</v>
      </c>
      <c r="U211" s="29">
        <f>U31</f>
        <v>3285.0599999999999</v>
      </c>
      <c r="V211" s="29">
        <f>V31</f>
        <v>2642.71</v>
      </c>
      <c r="W211" s="29">
        <f>W31</f>
        <v>3502.9099999999999</v>
      </c>
      <c r="X211" s="29">
        <f>X31</f>
        <v>2983.3499999999999</v>
      </c>
      <c r="Y211" s="29">
        <f>Y31</f>
        <v>3467.9299999999998</v>
      </c>
      <c r="Z211" s="29">
        <f>Z31</f>
        <v>3470.8800000000001</v>
      </c>
      <c r="AA211" s="29">
        <f>AA31</f>
        <v>3010.8899999999999</v>
      </c>
    </row>
    <row r="212" ht="15" customHeight="1">
      <c r="A212" s="28" t="inlineStr">
        <is>
          <t>Total Indirect Labor</t>
        </is>
      </c>
      <c r="C212" s="22">
        <f>SUM(C203:C211)</f>
        <v>26416.229999999996</v>
      </c>
      <c r="D212" s="22">
        <f>SUM(D203:D211)</f>
        <v>27125.66</v>
      </c>
      <c r="E212" s="22">
        <f>SUM(E203:E211)</f>
        <v>28608.32</v>
      </c>
      <c r="F212" s="22">
        <f>SUM(F203:F211)</f>
        <v>27182.149999999994</v>
      </c>
      <c r="G212" s="22">
        <f>SUM(G203:G211)</f>
        <v>31029.599999999999</v>
      </c>
      <c r="H212" s="22">
        <f>SUM(H203:H211)</f>
        <v>27610.049999999999</v>
      </c>
      <c r="I212" s="22">
        <f>SUM(I203:I211)</f>
        <v>23283.079999999998</v>
      </c>
      <c r="J212" s="22">
        <f>SUM(J203:J211)</f>
        <v>26644.159999999996</v>
      </c>
      <c r="K212" s="22">
        <f>SUM(K203:K211)</f>
        <v>25368.470000000005</v>
      </c>
      <c r="L212" s="22">
        <f>SUM(L203:L211)</f>
        <v>23202.549999999999</v>
      </c>
      <c r="M212" s="22">
        <f>SUM(M203:M211)</f>
        <v>24648.739999999998</v>
      </c>
      <c r="N212" s="22">
        <f>SUM(N203:N211)</f>
        <v>23276.830000000002</v>
      </c>
      <c r="O212" s="22">
        <f>SUM(O203:O211)</f>
        <v>21830.349999999999</v>
      </c>
      <c r="P212" s="22">
        <f>SUM(P203:P211)</f>
        <v>25524.209999999995</v>
      </c>
      <c r="Q212" s="22">
        <f>SUM(Q203:Q211)</f>
        <v>24896.200000000004</v>
      </c>
      <c r="R212" s="22">
        <f>SUM(R203:R211)</f>
        <v>23299.389999999999</v>
      </c>
      <c r="S212" s="22">
        <f>SUM(S203:S211)</f>
        <v>25554.639999999999</v>
      </c>
      <c r="T212" s="22">
        <f>SUM(T203:T211)</f>
        <v>28722.559999999998</v>
      </c>
      <c r="U212" s="22">
        <f>SUM(U203:U211)</f>
        <v>28928.310000000001</v>
      </c>
      <c r="V212" s="22">
        <f>SUM(V203:V211)</f>
        <v>30756.579999999998</v>
      </c>
      <c r="W212" s="22">
        <f>SUM(W203:W211)</f>
        <v>28186.480000000003</v>
      </c>
      <c r="X212" s="22">
        <f>SUM(X203:X211)</f>
        <v>25701.019999999997</v>
      </c>
      <c r="Y212" s="22">
        <f>SUM(Y203:Y211)</f>
        <v>28515.220000000005</v>
      </c>
      <c r="Z212" s="22">
        <f>SUM(Z203:Z211)</f>
        <v>26865.150000000001</v>
      </c>
      <c r="AA212" s="22">
        <f>SUM(AA203:AA211)</f>
        <v>25722.48</v>
      </c>
    </row>
    <row r="213" ht="15" customHeight="1">
      <c r="A213" s="21" t="inlineStr">
        <is>
          <t>Total Labor</t>
        </is>
      </c>
      <c r="C213" s="22">
        <f>C202+C212</f>
        <v>55058.769999999997</v>
      </c>
      <c r="D213" s="22">
        <f>D202+D212</f>
        <v>52628.240000000005</v>
      </c>
      <c r="E213" s="22">
        <f>E202+E212</f>
        <v>54824.669999999998</v>
      </c>
      <c r="F213" s="22">
        <f>F202+F212</f>
        <v>52537.690000000002</v>
      </c>
      <c r="G213" s="22">
        <f>G202+G212</f>
        <v>58045.459999999999</v>
      </c>
      <c r="H213" s="22">
        <f>H202+H212</f>
        <v>54446.649999999994</v>
      </c>
      <c r="I213" s="22">
        <f>I202+I212</f>
        <v>47116.789999999994</v>
      </c>
      <c r="J213" s="22">
        <f>J202+J212</f>
        <v>52689.839999999997</v>
      </c>
      <c r="K213" s="22">
        <f>K202+K212</f>
        <v>49545.010000000002</v>
      </c>
      <c r="L213" s="22">
        <f>L202+L212</f>
        <v>45694.289999999994</v>
      </c>
      <c r="M213" s="22">
        <f>M202+M212</f>
        <v>50048.550000000003</v>
      </c>
      <c r="N213" s="22">
        <f>N202+N212</f>
        <v>48485.589999999997</v>
      </c>
      <c r="O213" s="22">
        <f>O202+O212</f>
        <v>47347.110000000001</v>
      </c>
      <c r="P213" s="22">
        <f>P202+P212</f>
        <v>51830.729999999996</v>
      </c>
      <c r="Q213" s="22">
        <f>Q202+Q212</f>
        <v>55475.880000000005</v>
      </c>
      <c r="R213" s="22">
        <f>R202+R212</f>
        <v>52415.110000000001</v>
      </c>
      <c r="S213" s="22">
        <f>S202+S212</f>
        <v>54811.190000000002</v>
      </c>
      <c r="T213" s="22">
        <f>T202+T212</f>
        <v>57632.759999999995</v>
      </c>
      <c r="U213" s="22">
        <f>U202+U212</f>
        <v>56975.559999999998</v>
      </c>
      <c r="V213" s="22">
        <f>V202+V212</f>
        <v>59896.239999999998</v>
      </c>
      <c r="W213" s="22">
        <f>W202+W212</f>
        <v>57235.090000000004</v>
      </c>
      <c r="X213" s="22">
        <f>X202+X212</f>
        <v>51963.610000000001</v>
      </c>
      <c r="Y213" s="22">
        <f>Y202+Y212</f>
        <v>58566.490000000005</v>
      </c>
      <c r="Z213" s="22">
        <f>Z202+Z212</f>
        <v>55201.520000000004</v>
      </c>
      <c r="AA213" s="22">
        <f>AA202+AA212</f>
        <v>52445.260000000002</v>
      </c>
    </row>
    <row r="214" ht="15" customHeight="1">
      <c r="A214" s="19" t="inlineStr">
        <is>
          <t>Direct Labor % of Net Revenue</t>
        </is>
      </c>
      <c r="C214" s="25">
        <f>IFERROR(C202/C15,0)</f>
        <v>0.43716027310326055</v>
      </c>
      <c r="D214" s="25">
        <f>IFERROR(D202/D15,0)</f>
        <v>0.32463596396370714</v>
      </c>
      <c r="E214" s="25">
        <f>IFERROR(E202/E15,0)</f>
        <v>0.37751296351495933</v>
      </c>
      <c r="F214" s="25">
        <f>IFERROR(F202/F15,0)</f>
        <v>0.36524665976763004</v>
      </c>
      <c r="G214" s="25">
        <f>IFERROR(G202/G15,0)</f>
        <v>0.36212998303277655</v>
      </c>
      <c r="H214" s="25">
        <f>IFERROR(H202/H15,0)</f>
        <v>0.38583512401340064</v>
      </c>
      <c r="I214" s="25">
        <f>IFERROR(I202/I15,0)</f>
        <v>0.34894421641422291</v>
      </c>
      <c r="J214" s="25">
        <f>IFERROR(J202/J15,0)</f>
        <v>0.39712606856828847</v>
      </c>
      <c r="K214" s="25">
        <f>IFERROR(K202/K15,0)</f>
        <v>0.39966204052538107</v>
      </c>
      <c r="L214" s="25">
        <f>IFERROR(L202/L15,0)</f>
        <v>0.32865689822156158</v>
      </c>
      <c r="M214" s="25">
        <f>IFERROR(M202/M15,0)</f>
        <v>0.33820962469236343</v>
      </c>
      <c r="N214" s="25">
        <f>IFERROR(N202/N15,0)</f>
        <v>0.31089795965182149</v>
      </c>
      <c r="O214" s="25">
        <f>IFERROR(O202/O15,0)</f>
        <v>0.46405786474269156</v>
      </c>
      <c r="P214" s="25">
        <f>IFERROR(P202/P15,0)</f>
        <v>0.27719315289756796</v>
      </c>
      <c r="Q214" s="25">
        <f>IFERROR(Q202/Q15,0)</f>
        <v>0.48866971142936588</v>
      </c>
      <c r="R214" s="25">
        <f>IFERROR(R202/R15,0)</f>
        <v>0.37456889941861243</v>
      </c>
      <c r="S214" s="25">
        <f>IFERROR(S202/S15,0)</f>
        <v>0.3085075017499268</v>
      </c>
      <c r="T214" s="25">
        <f>IFERROR(T202/T15,0)</f>
        <v>0.35808419961613047</v>
      </c>
      <c r="U214" s="25">
        <f>IFERROR(U202/U15,0)</f>
        <v>0.35324722072345072</v>
      </c>
      <c r="V214" s="25">
        <f>IFERROR(V202/V15,0)</f>
        <v>0.3170916458869828</v>
      </c>
      <c r="W214" s="25">
        <f>IFERROR(W202/W15,0)</f>
        <v>0.45624803866781133</v>
      </c>
      <c r="X214" s="25">
        <f>IFERROR(X202/X15,0)</f>
        <v>0.39278175423021316</v>
      </c>
      <c r="Y214" s="25">
        <f>IFERROR(Y202/Y15,0)</f>
        <v>0.33681483913203852</v>
      </c>
      <c r="Z214" s="25">
        <f>IFERROR(Z202/Z15,0)</f>
        <v>0.36936045399876094</v>
      </c>
      <c r="AA214" s="25">
        <f>IFERROR(AA202/AA15,0)</f>
        <v>0.41671508604302515</v>
      </c>
    </row>
    <row r="215" ht="15" customHeight="1">
      <c r="A215" s="19" t="inlineStr">
        <is>
          <t>Indirect Labor % of Net Revenue</t>
        </is>
      </c>
      <c r="C215" s="25">
        <f>IFERROR(C212/C15,0)</f>
        <v>0.4031809441885581</v>
      </c>
      <c r="D215" s="25">
        <f>IFERROR(D212/D15,0)</f>
        <v>0.34529701631175241</v>
      </c>
      <c r="E215" s="25">
        <f>IFERROR(E212/E15,0)</f>
        <v>0.41195710556138754</v>
      </c>
      <c r="F215" s="25">
        <f>IFERROR(F212/F15,0)</f>
        <v>0.39155898445872894</v>
      </c>
      <c r="G215" s="25">
        <f>IFERROR(G212/G15,0)</f>
        <v>0.41593154989379733</v>
      </c>
      <c r="H215" s="25">
        <f>IFERROR(H212/H15,0)</f>
        <v>0.39695516815715082</v>
      </c>
      <c r="I215" s="25">
        <f>IFERROR(I212/I15,0)</f>
        <v>0.34088256114174692</v>
      </c>
      <c r="J215" s="25">
        <f>IFERROR(J212/J15,0)</f>
        <v>0.40625126743108447</v>
      </c>
      <c r="K215" s="25">
        <f>IFERROR(K212/K15,0)</f>
        <v>0.41936581848382432</v>
      </c>
      <c r="L215" s="25">
        <f>IFERROR(L212/L15,0)</f>
        <v>0.33904349391513033</v>
      </c>
      <c r="M215" s="25">
        <f>IFERROR(M212/M15,0)</f>
        <v>0.32820879780359163</v>
      </c>
      <c r="N215" s="25">
        <f>IFERROR(N212/N15,0)</f>
        <v>0.28707159551530143</v>
      </c>
      <c r="O215" s="25">
        <f>IFERROR(O212/O15,0)</f>
        <v>0.3970153580464611</v>
      </c>
      <c r="P215" s="25">
        <f>IFERROR(P212/P15,0)</f>
        <v>0.26894991223163051</v>
      </c>
      <c r="Q215" s="25">
        <f>IFERROR(Q212/Q15,0)</f>
        <v>0.39784650688587259</v>
      </c>
      <c r="R215" s="25">
        <f>IFERROR(R212/R15,0)</f>
        <v>0.29974278051255554</v>
      </c>
      <c r="S215" s="25">
        <f>IFERROR(S212/S15,0)</f>
        <v>0.26947121736905921</v>
      </c>
      <c r="T215" s="25">
        <f>IFERROR(T212/T15,0)</f>
        <v>0.35576007459395936</v>
      </c>
      <c r="U215" s="25">
        <f>IFERROR(U212/U15,0)</f>
        <v>0.36434392347650507</v>
      </c>
      <c r="V215" s="25">
        <f>IFERROR(V212/V15,0)</f>
        <v>0.33468662894675699</v>
      </c>
      <c r="W215" s="25">
        <f>IFERROR(W212/W15,0)</f>
        <v>0.44270711118189449</v>
      </c>
      <c r="X215" s="25">
        <f>IFERROR(X212/X15,0)</f>
        <v>0.3843829462785579</v>
      </c>
      <c r="Y215" s="25">
        <f>IFERROR(Y212/Y15,0)</f>
        <v>0.3195987802550338</v>
      </c>
      <c r="Z215" s="25">
        <f>IFERROR(Z212/Z15,0)</f>
        <v>0.35018331567327826</v>
      </c>
      <c r="AA215" s="25">
        <f>IFERROR(AA212/AA15,0)</f>
        <v>0.40111640579460639</v>
      </c>
    </row>
    <row r="216" ht="15" customHeight="1">
      <c r="A216" s="19" t="inlineStr">
        <is>
          <t>Total Labor % of Net Revenue</t>
        </is>
      </c>
      <c r="C216" s="25">
        <f>IFERROR(C213/C15,0)</f>
        <v>0.84034121729181865</v>
      </c>
      <c r="D216" s="25">
        <f>IFERROR(D213/D15,0)</f>
        <v>0.66993298027545956</v>
      </c>
      <c r="E216" s="25">
        <f>IFERROR(E213/E15,0)</f>
        <v>0.78947006907634687</v>
      </c>
      <c r="F216" s="25">
        <f>IFERROR(F213/F15,0)</f>
        <v>0.75680564422635899</v>
      </c>
      <c r="G216" s="25">
        <f>IFERROR(G213/G15,0)</f>
        <v>0.77806153292657387</v>
      </c>
      <c r="H216" s="25">
        <f>IFERROR(H213/H15,0)</f>
        <v>0.7827902921705514</v>
      </c>
      <c r="I216" s="25">
        <f>IFERROR(I213/I15,0)</f>
        <v>0.68982677755596977</v>
      </c>
      <c r="J216" s="25">
        <f>IFERROR(J213/J15,0)</f>
        <v>0.803377335999373</v>
      </c>
      <c r="K216" s="25">
        <f>IFERROR(K213/K15,0)</f>
        <v>0.81902785900920538</v>
      </c>
      <c r="L216" s="25">
        <f>IFERROR(L213/L15,0)</f>
        <v>0.66770039213669186</v>
      </c>
      <c r="M216" s="25">
        <f>IFERROR(M213/M15,0)</f>
        <v>0.66641842249595507</v>
      </c>
      <c r="N216" s="25">
        <f>IFERROR(N213/N15,0)</f>
        <v>0.59796955516712291</v>
      </c>
      <c r="O216" s="25">
        <f>IFERROR(O213/O15,0)</f>
        <v>0.86107322278915277</v>
      </c>
      <c r="P216" s="25">
        <f>IFERROR(P213/P15,0)</f>
        <v>0.54614306512919852</v>
      </c>
      <c r="Q216" s="25">
        <f>IFERROR(Q213/Q15,0)</f>
        <v>0.88651621831523841</v>
      </c>
      <c r="R216" s="25">
        <f>IFERROR(R213/R15,0)</f>
        <v>0.67431167993116803</v>
      </c>
      <c r="S216" s="25">
        <f>IFERROR(S213/S15,0)</f>
        <v>0.57797871911898602</v>
      </c>
      <c r="T216" s="25">
        <f>IFERROR(T213/T15,0)</f>
        <v>0.71384427421008978</v>
      </c>
      <c r="U216" s="25">
        <f>IFERROR(U213/U15,0)</f>
        <v>0.71759114419995573</v>
      </c>
      <c r="V216" s="25">
        <f>IFERROR(V213/V15,0)</f>
        <v>0.65177827483373973</v>
      </c>
      <c r="W216" s="25">
        <f>IFERROR(W213/W15,0)</f>
        <v>0.89895514984970581</v>
      </c>
      <c r="X216" s="25">
        <f>IFERROR(X213/X15,0)</f>
        <v>0.77716470050877107</v>
      </c>
      <c r="Y216" s="25">
        <f>IFERROR(Y213/Y15,0)</f>
        <v>0.65641361938707232</v>
      </c>
      <c r="Z216" s="25">
        <f>IFERROR(Z213/Z15,0)</f>
        <v>0.71954376967203926</v>
      </c>
      <c r="AA216" s="25">
        <f>IFERROR(AA213/AA15,0)</f>
        <v>0.81783149183763149</v>
      </c>
    </row>
    <row r="217" ht="15" customHeight="1">
      <c r="A217" s="28" t="inlineStr">
        <is>
          <t>Gross Profit after All Labor</t>
        </is>
      </c>
      <c r="C217" s="23">
        <f>C15-C213</f>
        <v>10460.769999999997</v>
      </c>
      <c r="D217" s="23">
        <f>D15-D213</f>
        <v>25929.229999999996</v>
      </c>
      <c r="E217" s="23">
        <f>E15-E213</f>
        <v>14620.229999999996</v>
      </c>
      <c r="F217" s="23">
        <f>F15-F213</f>
        <v>16882.630000000005</v>
      </c>
      <c r="G217" s="23">
        <f>G15-G213</f>
        <v>16557.200000000004</v>
      </c>
      <c r="H217" s="23">
        <f>H15-H213</f>
        <v>15107.930000000008</v>
      </c>
      <c r="I217" s="23">
        <f>I15-I213</f>
        <v>21185.560000000012</v>
      </c>
      <c r="J217" s="23">
        <f>J15-J213</f>
        <v>12895.580000000002</v>
      </c>
      <c r="K217" s="23">
        <f>K15-K213</f>
        <v>10947.450000000004</v>
      </c>
      <c r="L217" s="23">
        <f>L15-L213</f>
        <v>22741.030000000013</v>
      </c>
      <c r="M217" s="23">
        <f>M15-M213</f>
        <v>25052.240000000005</v>
      </c>
      <c r="N217" s="23">
        <f>N15-N213</f>
        <v>32598.12000000001</v>
      </c>
      <c r="O217" s="23">
        <f>O15-O213</f>
        <v>7639.0500000000029</v>
      </c>
      <c r="P217" s="23">
        <f>P15-P213</f>
        <v>43072.479999999996</v>
      </c>
      <c r="Q217" s="23">
        <f>Q15-Q213</f>
        <v>7101.5199999999968</v>
      </c>
      <c r="R217" s="23">
        <f>R15-R213</f>
        <v>25316.169999999998</v>
      </c>
      <c r="S217" s="23">
        <f>S15-S213</f>
        <v>40021.349999999991</v>
      </c>
      <c r="T217" s="23">
        <f>T15-T213</f>
        <v>23103</v>
      </c>
      <c r="U217" s="23">
        <f>U15-U213</f>
        <v>22422.800000000003</v>
      </c>
      <c r="V217" s="23">
        <f>V15-V213</f>
        <v>32000.410000000011</v>
      </c>
      <c r="W217" s="23">
        <f>W15-W213</f>
        <v>6433.3700000000026</v>
      </c>
      <c r="X217" s="23">
        <f>X15-X213</f>
        <v>14899.450000000012</v>
      </c>
      <c r="Y217" s="23">
        <f>Y15-Y213</f>
        <v>30655.439999999988</v>
      </c>
      <c r="Z217" s="23">
        <f>Z15-Z213</f>
        <v>21515.869999999995</v>
      </c>
      <c r="AA217" s="23">
        <f>AA15-AA213</f>
        <v>11681.959999999999</v>
      </c>
    </row>
    <row r="218" ht="15" customHeight="1">
      <c r="A218" s="19" t="inlineStr">
        <is>
          <t>Gross Margin after All Labor %</t>
        </is>
      </c>
      <c r="C218" s="33">
        <f>IFERROR((C15-C213)/C15,0)</f>
        <v>0.15965878270818137</v>
      </c>
      <c r="D218" s="33">
        <f>IFERROR((D15-D213)/D15,0)</f>
        <v>0.33006701972454044</v>
      </c>
      <c r="E218" s="33">
        <f>IFERROR((E15-E213)/E15,0)</f>
        <v>0.2105299309236531</v>
      </c>
      <c r="F218" s="33">
        <f>IFERROR((F15-F213)/F15,0)</f>
        <v>0.24319435577364096</v>
      </c>
      <c r="G218" s="33">
        <f>IFERROR((G15-G213)/G15,0)</f>
        <v>0.22193846707342613</v>
      </c>
      <c r="H218" s="33">
        <f>IFERROR((H15-H213)/H15,0)</f>
        <v>0.21720970782944857</v>
      </c>
      <c r="I218" s="33">
        <f>IFERROR((I15-I213)/I15,0)</f>
        <v>0.31017322244403028</v>
      </c>
      <c r="J218" s="33">
        <f>IFERROR((J15-J213)/J15,0)</f>
        <v>0.196622664000627</v>
      </c>
      <c r="K218" s="33">
        <f>IFERROR((K15-K213)/K15,0)</f>
        <v>0.18097214099079462</v>
      </c>
      <c r="L218" s="33">
        <f>IFERROR((L15-L213)/L15,0)</f>
        <v>0.3322996078633082</v>
      </c>
      <c r="M218" s="33">
        <f>IFERROR((M15-M213)/M15,0)</f>
        <v>0.33358157750404493</v>
      </c>
      <c r="N218" s="33">
        <f>IFERROR((N15-N213)/N15,0)</f>
        <v>0.40203044483287714</v>
      </c>
      <c r="O218" s="33">
        <f>IFERROR((O15-O213)/O15,0)</f>
        <v>0.13892677721084729</v>
      </c>
      <c r="P218" s="33">
        <f>IFERROR((P15-P213)/P15,0)</f>
        <v>0.45385693487080153</v>
      </c>
      <c r="Q218" s="33">
        <f>IFERROR((Q15-Q213)/Q15,0)</f>
        <v>0.11348378168476153</v>
      </c>
      <c r="R218" s="33">
        <f>IFERROR((R15-R213)/R15,0)</f>
        <v>0.32568832006883197</v>
      </c>
      <c r="S218" s="33">
        <f>IFERROR((S15-S213)/S15,0)</f>
        <v>0.42202128088101398</v>
      </c>
      <c r="T218" s="33">
        <f>IFERROR((T15-T213)/T15,0)</f>
        <v>0.28615572578991022</v>
      </c>
      <c r="U218" s="33">
        <f>IFERROR((U15-U213)/U15,0)</f>
        <v>0.28240885580004427</v>
      </c>
      <c r="V218" s="33">
        <f>IFERROR((V15-V213)/V15,0)</f>
        <v>0.34822172516626021</v>
      </c>
      <c r="W218" s="33">
        <f>IFERROR((W15-W213)/W15,0)</f>
        <v>0.10104485015029423</v>
      </c>
      <c r="X218" s="33">
        <f>IFERROR((X15-X213)/X15,0)</f>
        <v>0.22283529949122893</v>
      </c>
      <c r="Y218" s="33">
        <f>IFERROR((Y15-Y213)/Y15,0)</f>
        <v>0.34358638061292768</v>
      </c>
      <c r="Z218" s="33">
        <f>IFERROR((Z15-Z213)/Z15,0)</f>
        <v>0.2804562303279608</v>
      </c>
      <c r="AA218" s="33">
        <f>IFERROR((AA15-AA213)/AA15,0)</f>
        <v>0.18216850816236849</v>
      </c>
    </row>
    <row r="220" ht="15" customHeight="1">
      <c r="A220" s="2" t="inlineStr">
        <is>
          <t>Schedule 3 — Cost of Services</t>
        </is>
      </c>
    </row>
    <row r="221" ht="21.75" customHeight="1">
      <c r="C221" s="18" t="inlineStr">
        <is>
          <t>Jun-24</t>
        </is>
      </c>
      <c r="D221" s="18" t="inlineStr">
        <is>
          <t>Jul-24</t>
        </is>
      </c>
      <c r="E221" s="18" t="inlineStr">
        <is>
          <t>Aug-24</t>
        </is>
      </c>
      <c r="F221" s="18" t="inlineStr">
        <is>
          <t>Sep-24</t>
        </is>
      </c>
      <c r="G221" s="18" t="inlineStr">
        <is>
          <t>Oct-24</t>
        </is>
      </c>
      <c r="H221" s="18" t="inlineStr">
        <is>
          <t>Nov-24</t>
        </is>
      </c>
      <c r="I221" s="18" t="inlineStr">
        <is>
          <t>Dec-24</t>
        </is>
      </c>
      <c r="J221" s="18" t="inlineStr">
        <is>
          <t>Jan-25</t>
        </is>
      </c>
      <c r="K221" s="18" t="inlineStr">
        <is>
          <t>Feb-25</t>
        </is>
      </c>
      <c r="L221" s="18" t="inlineStr">
        <is>
          <t>Mar-25</t>
        </is>
      </c>
      <c r="M221" s="18" t="inlineStr">
        <is>
          <t>Apr-25</t>
        </is>
      </c>
      <c r="N221" s="18" t="inlineStr">
        <is>
          <t>May-25</t>
        </is>
      </c>
      <c r="O221" s="18" t="inlineStr">
        <is>
          <t>Jun-25</t>
        </is>
      </c>
      <c r="P221" s="18" t="inlineStr">
        <is>
          <t>Jul-25</t>
        </is>
      </c>
      <c r="Q221" s="18" t="inlineStr">
        <is>
          <t>Aug-25</t>
        </is>
      </c>
      <c r="R221" s="18" t="inlineStr">
        <is>
          <t>Sep-25</t>
        </is>
      </c>
      <c r="S221" s="18" t="inlineStr">
        <is>
          <t>Oct-25</t>
        </is>
      </c>
      <c r="T221" s="18" t="inlineStr">
        <is>
          <t>Nov-25</t>
        </is>
      </c>
      <c r="U221" s="18" t="inlineStr">
        <is>
          <t>Dec-25</t>
        </is>
      </c>
      <c r="V221" s="18" t="inlineStr">
        <is>
          <t>Jan-26</t>
        </is>
      </c>
      <c r="W221" s="18" t="inlineStr">
        <is>
          <t>Feb-26</t>
        </is>
      </c>
      <c r="X221" s="18" t="inlineStr">
        <is>
          <t>Mar-26</t>
        </is>
      </c>
      <c r="Y221" s="18" t="inlineStr">
        <is>
          <t>Apr-26</t>
        </is>
      </c>
      <c r="Z221" s="18" t="inlineStr">
        <is>
          <t>May-26</t>
        </is>
      </c>
      <c r="AA221" s="18" t="inlineStr">
        <is>
          <t>Jun-26</t>
        </is>
      </c>
    </row>
    <row r="222" ht="15" customHeight="1">
      <c r="A222" s="27" t="inlineStr">
        <is>
          <t>Contractors - Client Hours</t>
        </is>
      </c>
      <c r="C222" s="29">
        <f>C18</f>
        <v>19394.040000000001</v>
      </c>
      <c r="D222" s="29">
        <f>D18</f>
        <v>18266.330000000002</v>
      </c>
      <c r="E222" s="29">
        <f>E18</f>
        <v>20915.869999999999</v>
      </c>
      <c r="F222" s="29">
        <f>F18</f>
        <v>20818.060000000001</v>
      </c>
      <c r="G222" s="29">
        <f>G18</f>
        <v>22253.110000000001</v>
      </c>
      <c r="H222" s="29">
        <f>H18</f>
        <v>21849.939999999999</v>
      </c>
      <c r="I222" s="29">
        <f>I18</f>
        <v>18495.84</v>
      </c>
      <c r="J222" s="29">
        <f>J18</f>
        <v>17320.709999999999</v>
      </c>
      <c r="K222" s="29">
        <f>K18</f>
        <v>19492.66</v>
      </c>
      <c r="L222" s="29">
        <f>L18</f>
        <v>18326.41</v>
      </c>
      <c r="M222" s="29">
        <f>M18</f>
        <v>20629.360000000001</v>
      </c>
      <c r="N222" s="29">
        <f>N18</f>
        <v>21453.48</v>
      </c>
      <c r="O222" s="29">
        <f>O18</f>
        <v>21869.939999999999</v>
      </c>
      <c r="P222" s="29">
        <f>P18</f>
        <v>21439.57</v>
      </c>
      <c r="Q222" s="29">
        <f>Q18</f>
        <v>25115.950000000001</v>
      </c>
      <c r="R222" s="29">
        <f>R18</f>
        <v>24359.34</v>
      </c>
      <c r="S222" s="29">
        <f>S18</f>
        <v>24557.02</v>
      </c>
      <c r="T222" s="29">
        <f>T18</f>
        <v>23570.34</v>
      </c>
      <c r="U222" s="29">
        <f>U18</f>
        <v>21932.709999999999</v>
      </c>
      <c r="V222" s="29">
        <f>V18</f>
        <v>21068.200000000001</v>
      </c>
      <c r="W222" s="29">
        <f>W18</f>
        <v>24105.049999999999</v>
      </c>
      <c r="X222" s="29">
        <f>X18</f>
        <v>21329.32</v>
      </c>
      <c r="Y222" s="29">
        <f>Y18</f>
        <v>23432.68</v>
      </c>
      <c r="Z222" s="29">
        <f>Z18</f>
        <v>22967.150000000001</v>
      </c>
      <c r="AA222" s="29">
        <f>AA18</f>
        <v>22258.75</v>
      </c>
    </row>
    <row r="223" ht="15" customHeight="1">
      <c r="A223" s="27" t="inlineStr">
        <is>
          <t>Contractors - Idle Time</t>
        </is>
      </c>
      <c r="C223" s="29">
        <f>C19</f>
        <v>1166.3599999999999</v>
      </c>
      <c r="D223" s="29">
        <f>D19</f>
        <v>817.49000000000001</v>
      </c>
      <c r="E223" s="29">
        <f>E19</f>
        <v>899.15999999999997</v>
      </c>
      <c r="F223" s="29">
        <f>F19</f>
        <v>668.05999999999995</v>
      </c>
      <c r="G223" s="29">
        <f>G19</f>
        <v>763.65999999999997</v>
      </c>
      <c r="H223" s="29">
        <f>H19</f>
        <v>1547.3199999999999</v>
      </c>
      <c r="I223" s="29">
        <f>I19</f>
        <v>1484.27</v>
      </c>
      <c r="J223" s="29">
        <f>J19</f>
        <v>985.85000000000002</v>
      </c>
      <c r="K223" s="29">
        <f>K19</f>
        <v>856.37</v>
      </c>
      <c r="L223" s="29">
        <f>L19</f>
        <v>1072.8499999999999</v>
      </c>
      <c r="M223" s="29">
        <f>M19</f>
        <v>617.86000000000001</v>
      </c>
      <c r="N223" s="29">
        <f>N19</f>
        <v>534.88999999999999</v>
      </c>
      <c r="O223" s="29">
        <f>O19</f>
        <v>732.63</v>
      </c>
      <c r="P223" s="29">
        <f>P19</f>
        <v>1252.22</v>
      </c>
      <c r="Q223" s="29">
        <f>Q19</f>
        <v>1004.05</v>
      </c>
      <c r="R223" s="29">
        <f>R19</f>
        <v>1130.9300000000001</v>
      </c>
      <c r="S223" s="29">
        <f>S19</f>
        <v>974.10000000000002</v>
      </c>
      <c r="T223" s="29">
        <f>T19</f>
        <v>1300.1800000000001</v>
      </c>
      <c r="U223" s="29">
        <f>U19</f>
        <v>1260.22</v>
      </c>
      <c r="V223" s="29">
        <f>V19</f>
        <v>1062.8099999999999</v>
      </c>
      <c r="W223" s="29">
        <f>W19</f>
        <v>1311.04</v>
      </c>
      <c r="X223" s="29">
        <f>X19</f>
        <v>1443.6800000000001</v>
      </c>
      <c r="Y223" s="29">
        <f>Y19</f>
        <v>1059.3900000000001</v>
      </c>
      <c r="Z223" s="29">
        <f>Z19</f>
        <v>1295.6500000000001</v>
      </c>
      <c r="AA223" s="29">
        <f>AA19</f>
        <v>701.82000000000005</v>
      </c>
    </row>
    <row r="224" ht="15" customHeight="1">
      <c r="A224" s="27" t="inlineStr">
        <is>
          <t>Contractors - Others</t>
        </is>
      </c>
      <c r="C224" s="29">
        <f>C20</f>
        <v>7834.29</v>
      </c>
      <c r="D224" s="29">
        <f>D20</f>
        <v>6064.6999999999998</v>
      </c>
      <c r="E224" s="29">
        <f>E20</f>
        <v>4091.3400000000001</v>
      </c>
      <c r="F224" s="29">
        <f>F20</f>
        <v>3818.8600000000001</v>
      </c>
      <c r="G224" s="29">
        <f>G20</f>
        <v>3589.5</v>
      </c>
      <c r="H224" s="29">
        <f>H20</f>
        <v>3313.2399999999998</v>
      </c>
      <c r="I224" s="29">
        <f>I20</f>
        <v>3575.3200000000002</v>
      </c>
      <c r="J224" s="29">
        <f>J20</f>
        <v>7481.9200000000001</v>
      </c>
      <c r="K224" s="29">
        <f>K20</f>
        <v>3575.3200000000002</v>
      </c>
      <c r="L224" s="29">
        <f>L20</f>
        <v>2981.4099999999999</v>
      </c>
      <c r="M224" s="29">
        <f>M20</f>
        <v>3675.9099999999999</v>
      </c>
      <c r="N224" s="29">
        <f>N20</f>
        <v>3134.7199999999998</v>
      </c>
      <c r="O224" s="29">
        <f>O20</f>
        <v>2707.3000000000002</v>
      </c>
      <c r="P224" s="29">
        <f>P20</f>
        <v>2899.9099999999999</v>
      </c>
      <c r="Q224" s="29">
        <f>Q20</f>
        <v>4162.3800000000001</v>
      </c>
      <c r="R224" s="29">
        <f>R20</f>
        <v>3519.6399999999999</v>
      </c>
      <c r="S224" s="29">
        <f>S20</f>
        <v>3252.98</v>
      </c>
      <c r="T224" s="29">
        <f>T20</f>
        <v>3797.6100000000001</v>
      </c>
      <c r="U224" s="29">
        <f>U20</f>
        <v>4713.4399999999996</v>
      </c>
      <c r="V224" s="29">
        <f>V20</f>
        <v>6541.9899999999998</v>
      </c>
      <c r="W224" s="29">
        <f>W20</f>
        <v>3330.0300000000002</v>
      </c>
      <c r="X224" s="29">
        <f>X20</f>
        <v>3372.9499999999998</v>
      </c>
      <c r="Y224" s="29">
        <f>Y20</f>
        <v>4847.3199999999997</v>
      </c>
      <c r="Z224" s="29">
        <f>Z20</f>
        <v>3915.98</v>
      </c>
      <c r="AA224" s="29">
        <f>AA20</f>
        <v>3525.4000000000001</v>
      </c>
    </row>
    <row r="225" ht="15" customHeight="1">
      <c r="A225" s="27" t="inlineStr">
        <is>
          <t>VA Incentives</t>
        </is>
      </c>
      <c r="C225" s="29">
        <f>C21</f>
        <v>247.84999999999999</v>
      </c>
      <c r="D225" s="29">
        <f>D21</f>
        <v>354.06</v>
      </c>
      <c r="E225" s="29">
        <f>E21</f>
        <v>309.98000000000002</v>
      </c>
      <c r="F225" s="29">
        <f>F21</f>
        <v>50.560000000000002</v>
      </c>
      <c r="G225" s="29">
        <f>G21</f>
        <v>409.58999999999997</v>
      </c>
      <c r="H225" s="29">
        <f>H21</f>
        <v>126.09999999999999</v>
      </c>
      <c r="I225" s="29">
        <f>I21</f>
        <v>278.27999999999997</v>
      </c>
      <c r="J225" s="29">
        <f>J21</f>
        <v>257.19999999999999</v>
      </c>
      <c r="K225" s="29">
        <f>K21</f>
        <v>252.19</v>
      </c>
      <c r="L225" s="29">
        <f>L21</f>
        <v>111.06999999999999</v>
      </c>
      <c r="M225" s="29">
        <f>M21</f>
        <v>476.68000000000001</v>
      </c>
      <c r="N225" s="29">
        <f>N21</f>
        <v>85.670000000000002</v>
      </c>
      <c r="O225" s="29">
        <f>O21</f>
        <v>206.88999999999999</v>
      </c>
      <c r="P225" s="29">
        <f>P21</f>
        <v>714.82000000000005</v>
      </c>
      <c r="Q225" s="29">
        <f>Q21</f>
        <v>297.30000000000001</v>
      </c>
      <c r="R225" s="29">
        <f>R21</f>
        <v>105.81</v>
      </c>
      <c r="S225" s="29">
        <f>S21</f>
        <v>472.44999999999999</v>
      </c>
      <c r="T225" s="29">
        <f>T21</f>
        <v>242.06999999999999</v>
      </c>
      <c r="U225" s="29">
        <f>U21</f>
        <v>140.88</v>
      </c>
      <c r="V225" s="29">
        <f>V21</f>
        <v>466.66000000000003</v>
      </c>
      <c r="W225" s="29">
        <f>W21</f>
        <v>302.49000000000001</v>
      </c>
      <c r="X225" s="29">
        <f>X21</f>
        <v>116.64</v>
      </c>
      <c r="Y225" s="29">
        <f>Y21</f>
        <v>711.88</v>
      </c>
      <c r="Z225" s="29">
        <f>Z21</f>
        <v>157.59</v>
      </c>
      <c r="AA225" s="29">
        <f>AA21</f>
        <v>236.81</v>
      </c>
    </row>
    <row r="226" ht="15" customHeight="1">
      <c r="A226" s="28" t="inlineStr">
        <is>
          <t>Total Cost of Services</t>
        </is>
      </c>
      <c r="C226" s="22">
        <f>SUM(C222:C225)</f>
        <v>28642.540000000001</v>
      </c>
      <c r="D226" s="22">
        <f>SUM(D222:D225)</f>
        <v>25502.580000000005</v>
      </c>
      <c r="E226" s="22">
        <f>SUM(E222:E225)</f>
        <v>26216.349999999999</v>
      </c>
      <c r="F226" s="22">
        <f>SUM(F222:F225)</f>
        <v>25355.540000000005</v>
      </c>
      <c r="G226" s="22">
        <f>SUM(G222:G225)</f>
        <v>27015.860000000001</v>
      </c>
      <c r="H226" s="22">
        <f>SUM(H222:H225)</f>
        <v>26836.599999999999</v>
      </c>
      <c r="I226" s="22">
        <f>SUM(I222:I225)</f>
        <v>23833.709999999999</v>
      </c>
      <c r="J226" s="22">
        <f>SUM(J222:J225)</f>
        <v>26045.679999999997</v>
      </c>
      <c r="K226" s="22">
        <f>SUM(K222:K225)</f>
        <v>24176.539999999997</v>
      </c>
      <c r="L226" s="22">
        <f>SUM(L222:L225)</f>
        <v>22491.739999999998</v>
      </c>
      <c r="M226" s="22">
        <f>SUM(M222:M225)</f>
        <v>25399.810000000001</v>
      </c>
      <c r="N226" s="22">
        <f>SUM(N222:N225)</f>
        <v>25208.759999999998</v>
      </c>
      <c r="O226" s="22">
        <f>SUM(O222:O225)</f>
        <v>25516.759999999998</v>
      </c>
      <c r="P226" s="22">
        <f>SUM(P222:P225)</f>
        <v>26306.52</v>
      </c>
      <c r="Q226" s="22">
        <f>SUM(Q222:Q225)</f>
        <v>30579.68</v>
      </c>
      <c r="R226" s="22">
        <f>SUM(R222:R225)</f>
        <v>29115.720000000001</v>
      </c>
      <c r="S226" s="22">
        <f>SUM(S222:S225)</f>
        <v>29256.549999999999</v>
      </c>
      <c r="T226" s="22">
        <f>SUM(T222:T225)</f>
        <v>28910.200000000001</v>
      </c>
      <c r="U226" s="22">
        <f>SUM(U222:U225)</f>
        <v>28047.25</v>
      </c>
      <c r="V226" s="22">
        <f>SUM(V222:V225)</f>
        <v>29139.66</v>
      </c>
      <c r="W226" s="22">
        <f>SUM(W222:W225)</f>
        <v>29048.610000000001</v>
      </c>
      <c r="X226" s="22">
        <f>SUM(X222:X225)</f>
        <v>26262.59</v>
      </c>
      <c r="Y226" s="22">
        <f>SUM(Y222:Y225)</f>
        <v>30051.27</v>
      </c>
      <c r="Z226" s="22">
        <f>SUM(Z222:Z225)</f>
        <v>28336.370000000003</v>
      </c>
      <c r="AA226" s="22">
        <f>SUM(AA222:AA225)</f>
        <v>26722.780000000002</v>
      </c>
    </row>
    <row r="227" ht="15" customHeight="1">
      <c r="A227" s="27" t="inlineStr">
        <is>
          <t>Contractors - Client Hours % of Net Revenue</t>
        </is>
      </c>
      <c r="C227" s="25">
        <f>IFERROR(C18/C15,0)</f>
        <v>0.29600390967335855</v>
      </c>
      <c r="D227" s="25">
        <f>IFERROR(D18/D15,0)</f>
        <v>0.23252187220387827</v>
      </c>
      <c r="E227" s="25">
        <f>IFERROR(E18/E15,0)</f>
        <v>0.30118655221621748</v>
      </c>
      <c r="F227" s="25">
        <f>IFERROR(F18/F15,0)</f>
        <v>0.2998842413863837</v>
      </c>
      <c r="G227" s="25">
        <f>IFERROR(G18/G15,0)</f>
        <v>0.29828842564058705</v>
      </c>
      <c r="H227" s="25">
        <f>IFERROR(H18/H15,0)</f>
        <v>0.31414092357397599</v>
      </c>
      <c r="I227" s="25">
        <f>IFERROR(I18/I15,0)</f>
        <v>0.27079361105437805</v>
      </c>
      <c r="J227" s="25">
        <f>IFERROR(J18/J15,0)</f>
        <v>0.26409390989643733</v>
      </c>
      <c r="K227" s="25">
        <f>IFERROR(K18/K15,0)</f>
        <v>0.32223288654486854</v>
      </c>
      <c r="L227" s="25">
        <f>IFERROR(L18/L15,0)</f>
        <v>0.26779169002205289</v>
      </c>
      <c r="M227" s="25">
        <f>IFERROR(M18/M15,0)</f>
        <v>0.27468898795871521</v>
      </c>
      <c r="N227" s="25">
        <f>IFERROR(N18/N15,0)</f>
        <v>0.26458434129370745</v>
      </c>
      <c r="O227" s="25">
        <f>IFERROR(O18/O15,0)</f>
        <v>0.39773535740630001</v>
      </c>
      <c r="P227" s="25">
        <f>IFERROR(P18/P15,0)</f>
        <v>0.2259098506783912</v>
      </c>
      <c r="Q227" s="25">
        <f>IFERROR(Q18/Q15,0)</f>
        <v>0.40135815805706215</v>
      </c>
      <c r="R227" s="25">
        <f>IFERROR(R18/R15,0)</f>
        <v>0.31337886112257513</v>
      </c>
      <c r="S227" s="25">
        <f>IFERROR(S18/S15,0)</f>
        <v>0.25895141056013055</v>
      </c>
      <c r="T227" s="25">
        <f>IFERROR(T18/T15,0)</f>
        <v>0.29194423883543058</v>
      </c>
      <c r="U227" s="25">
        <f>IFERROR(U18/U15,0)</f>
        <v>0.27623631017063827</v>
      </c>
      <c r="V227" s="25">
        <f>IFERROR(V18/V15,0)</f>
        <v>0.22925971730199085</v>
      </c>
      <c r="W227" s="25">
        <f>IFERROR(W18/W15,0)</f>
        <v>0.37860268647930229</v>
      </c>
      <c r="X227" s="25">
        <f>IFERROR(X18/X15,0)</f>
        <v>0.31900005772993334</v>
      </c>
      <c r="Y227" s="25">
        <f>IFERROR(Y18/Y15,0)</f>
        <v>0.26263363726832634</v>
      </c>
      <c r="Z227" s="25">
        <f>IFERROR(Z18/Z15,0)</f>
        <v>0.2993734536589423</v>
      </c>
      <c r="AA227" s="25">
        <f>IFERROR(AA18/AA15,0)</f>
        <v>0.34710299308156506</v>
      </c>
    </row>
    <row r="228" ht="15" customHeight="1">
      <c r="A228" s="27" t="inlineStr">
        <is>
          <t>Contractors - Idle Time % of Net Revenue</t>
        </is>
      </c>
      <c r="C228" s="25">
        <f>IFERROR(C19/C15,0)</f>
        <v>0.017801712283083793</v>
      </c>
      <c r="D228" s="25">
        <f>IFERROR(D19/D15,0)</f>
        <v>0.010406266902434612</v>
      </c>
      <c r="E228" s="25">
        <f>IFERROR(E19/E15,0)</f>
        <v>0.012947819062306952</v>
      </c>
      <c r="F228" s="25">
        <f>IFERROR(F19/F15,0)</f>
        <v>0.0096234070946374182</v>
      </c>
      <c r="G228" s="25">
        <f>IFERROR(G19/G15,0)</f>
        <v>0.010236364226154938</v>
      </c>
      <c r="H228" s="25">
        <f>IFERROR(H19/H15,0)</f>
        <v>0.022246126710850671</v>
      </c>
      <c r="I228" s="25">
        <f>IFERROR(I19/I15,0)</f>
        <v>0.02173087748810985</v>
      </c>
      <c r="J228" s="25">
        <f>IFERROR(J19/J15,0)</f>
        <v>0.015031542071393308</v>
      </c>
      <c r="K228" s="25">
        <f>IFERROR(K19/K15,0)</f>
        <v>0.014156640348235133</v>
      </c>
      <c r="L228" s="25">
        <f>IFERROR(L19/L15,0)</f>
        <v>0.015676846400367525</v>
      </c>
      <c r="M228" s="25">
        <f>IFERROR(M19/M15,0)</f>
        <v>0.008227077238468463</v>
      </c>
      <c r="N228" s="25">
        <f>IFERROR(N19/N15,0)</f>
        <v>0.0065967627776282057</v>
      </c>
      <c r="O228" s="25">
        <f>IFERROR(O19/O15,0)</f>
        <v>0.013323898231845977</v>
      </c>
      <c r="P228" s="25">
        <f>IFERROR(P19/P15,0)</f>
        <v>0.013194706480423582</v>
      </c>
      <c r="Q228" s="25">
        <f>IFERROR(Q19/Q15,0)</f>
        <v>0.016044929958739098</v>
      </c>
      <c r="R228" s="25">
        <f>IFERROR(R19/R15,0)</f>
        <v>0.014549226514731265</v>
      </c>
      <c r="S228" s="25">
        <f>IFERROR(S19/S15,0)</f>
        <v>0.010271790674382443</v>
      </c>
      <c r="T228" s="25">
        <f>IFERROR(T19/T15,0)</f>
        <v>0.016104140222374819</v>
      </c>
      <c r="U228" s="25">
        <f>IFERROR(U19/U15,0)</f>
        <v>0.015872116250260082</v>
      </c>
      <c r="V228" s="25">
        <f>IFERROR(V19/V15,0)</f>
        <v>0.011565274686291609</v>
      </c>
      <c r="W228" s="25">
        <f>IFERROR(W19/W15,0)</f>
        <v>0.020591671292190826</v>
      </c>
      <c r="X228" s="25">
        <f>IFERROR(X19/X15,0)</f>
        <v>0.021591593325223223</v>
      </c>
      <c r="Y228" s="25">
        <f>IFERROR(Y19/Y15,0)</f>
        <v>0.011873650345828657</v>
      </c>
      <c r="Z228" s="25">
        <f>IFERROR(Z19/Z15,0)</f>
        <v>0.016888608958151471</v>
      </c>
      <c r="AA228" s="25">
        <f>IFERROR(AA19/AA15,0)</f>
        <v>0.010944182517190048</v>
      </c>
    </row>
    <row r="229" ht="15" customHeight="1">
      <c r="A229" s="27" t="inlineStr">
        <is>
          <t>Contractors - Others % of Net Revenue</t>
        </is>
      </c>
      <c r="C229" s="25">
        <f>IFERROR(C20/C15,0)</f>
        <v>0.11957181018059651</v>
      </c>
      <c r="D229" s="25">
        <f>IFERROR(D20/D15,0)</f>
        <v>0.077200805983186571</v>
      </c>
      <c r="E229" s="25">
        <f>IFERROR(E20/E15,0)</f>
        <v>0.058914909518193566</v>
      </c>
      <c r="F229" s="25">
        <f>IFERROR(F20/F15,0)</f>
        <v>0.055010694275105611</v>
      </c>
      <c r="G229" s="25">
        <f>IFERROR(G20/G15,0)</f>
        <v>0.048114906358566835</v>
      </c>
      <c r="H229" s="25">
        <f>IFERROR(H20/H15,0)</f>
        <v>0.047635109003605507</v>
      </c>
      <c r="I229" s="25">
        <f>IFERROR(I20/I15,0)</f>
        <v>0.052345490308898596</v>
      </c>
      <c r="J229" s="25">
        <f>IFERROR(J20/J15,0)</f>
        <v>0.11407901329289345</v>
      </c>
      <c r="K229" s="25">
        <f>IFERROR(K20/K15,0)</f>
        <v>0.059103564311982021</v>
      </c>
      <c r="L229" s="25">
        <f>IFERROR(L20/L15,0)</f>
        <v>0.043565369461266483</v>
      </c>
      <c r="M229" s="25">
        <f>IFERROR(M20/M15,0)</f>
        <v>0.048946355957107765</v>
      </c>
      <c r="N229" s="25">
        <f>IFERROR(N20/N15,0)</f>
        <v>0.038660293171094408</v>
      </c>
      <c r="O229" s="25">
        <f>IFERROR(O20/O15,0)</f>
        <v>0.049236025938163348</v>
      </c>
      <c r="P229" s="25">
        <f>IFERROR(P20/P15,0)</f>
        <v>0.030556500670525264</v>
      </c>
      <c r="Q229" s="25">
        <f>IFERROR(Q20/Q15,0)</f>
        <v>0.066515706948514955</v>
      </c>
      <c r="R229" s="25">
        <f>IFERROR(R20/R15,0)</f>
        <v>0.045279583714561242</v>
      </c>
      <c r="S229" s="25">
        <f>IFERROR(S20/S15,0)</f>
        <v>0.034302360771946004</v>
      </c>
      <c r="T229" s="25">
        <f>IFERROR(T20/T15,0)</f>
        <v>0.047037520920097865</v>
      </c>
      <c r="U229" s="25">
        <f>IFERROR(U20/U15,0)</f>
        <v>0.059364450348848512</v>
      </c>
      <c r="V229" s="25">
        <f>IFERROR(V20/V15,0)</f>
        <v>0.071188558015988598</v>
      </c>
      <c r="W229" s="25">
        <f>IFERROR(W20/W15,0)</f>
        <v>0.052302662888343773</v>
      </c>
      <c r="X229" s="25">
        <f>IFERROR(X20/X15,0)</f>
        <v>0.050445642182693991</v>
      </c>
      <c r="Y229" s="25">
        <f>IFERROR(Y20/Y15,0)</f>
        <v>0.054328795622331866</v>
      </c>
      <c r="Z229" s="25">
        <f>IFERROR(Z20/Z15,0)</f>
        <v>0.051044228694432904</v>
      </c>
      <c r="AA229" s="25">
        <f>IFERROR(AA20/AA15,0)</f>
        <v>0.054975094819329454</v>
      </c>
    </row>
    <row r="230" ht="15" customHeight="1">
      <c r="A230" s="27" t="inlineStr">
        <is>
          <t>VA Incentives % of Net Revenue</t>
        </is>
      </c>
      <c r="C230" s="25">
        <f>IFERROR(C21/C15,0)</f>
        <v>0.0037828409662216799</v>
      </c>
      <c r="D230" s="25">
        <f>IFERROR(D21/D15,0)</f>
        <v>0.004507018874207634</v>
      </c>
      <c r="E230" s="25">
        <f>IFERROR(E21/E15,0)</f>
        <v>0.0044636827182413692</v>
      </c>
      <c r="F230" s="25">
        <f>IFERROR(F21/F15,0)</f>
        <v>0.00072831701150326007</v>
      </c>
      <c r="G230" s="25">
        <f>IFERROR(G21/G15,0)</f>
        <v>0.0054902868074677225</v>
      </c>
      <c r="H230" s="25">
        <f>IFERROR(H21/H15,0)</f>
        <v>0.0018129647249685067</v>
      </c>
      <c r="I230" s="25">
        <f>IFERROR(I21/I15,0)</f>
        <v>0.0040742375628364169</v>
      </c>
      <c r="J230" s="25">
        <f>IFERROR(J21/J15,0)</f>
        <v>0.0039216033075643942</v>
      </c>
      <c r="K230" s="25">
        <f>IFERROR(K21/K15,0)</f>
        <v>0.0041689493202954541</v>
      </c>
      <c r="L230" s="25">
        <f>IFERROR(L21/L15,0)</f>
        <v>0.0016229923378746527</v>
      </c>
      <c r="M230" s="25">
        <f>IFERROR(M21/M15,0)</f>
        <v>0.006347203538071969</v>
      </c>
      <c r="N230" s="25">
        <f>IFERROR(N21/N15,0)</f>
        <v>0.0010565624093914795</v>
      </c>
      <c r="O230" s="25">
        <f>IFERROR(O21/O15,0)</f>
        <v>0.0037625831663822308</v>
      </c>
      <c r="P230" s="25">
        <f>IFERROR(P21/P15,0)</f>
        <v>0.0075320950682279354</v>
      </c>
      <c r="Q230" s="25">
        <f>IFERROR(Q21/Q15,0)</f>
        <v>0.0047509164650496828</v>
      </c>
      <c r="R230" s="25">
        <f>IFERROR(R21/R15,0)</f>
        <v>0.0013612280667448162</v>
      </c>
      <c r="S230" s="25">
        <f>IFERROR(S21/S15,0)</f>
        <v>0.0049819397434678015</v>
      </c>
      <c r="T230" s="25">
        <f>IFERROR(T21/T15,0)</f>
        <v>0.0029982996382272244</v>
      </c>
      <c r="U230" s="25">
        <f>IFERROR(U21/U15,0)</f>
        <v>0.0017743439537038295</v>
      </c>
      <c r="V230" s="25">
        <f>IFERROR(V21/V15,0)</f>
        <v>0.00507809588271172</v>
      </c>
      <c r="W230" s="25">
        <f>IFERROR(W21/W15,0)</f>
        <v>0.0047510180079744346</v>
      </c>
      <c r="X230" s="25">
        <f>IFERROR(X21/X15,0)</f>
        <v>0.0017444609923625988</v>
      </c>
      <c r="Y230" s="25">
        <f>IFERROR(Y21/Y15,0)</f>
        <v>0.0079787558955516889</v>
      </c>
      <c r="Z230" s="25">
        <f>IFERROR(Z21/Z15,0)</f>
        <v>0.0020541626872342764</v>
      </c>
      <c r="AA230" s="25">
        <f>IFERROR(AA21/AA15,0)</f>
        <v>0.003692815624940548</v>
      </c>
    </row>
    <row r="231" ht="15" customHeight="1">
      <c r="A231" s="28" t="inlineStr">
        <is>
          <t>Total Cost of Services % of Net Revenue</t>
        </is>
      </c>
      <c r="C231" s="34">
        <f>IFERROR(C22/C15,0)</f>
        <v>0.43716027310326055</v>
      </c>
      <c r="D231" s="34">
        <f>IFERROR(D22/D15,0)</f>
        <v>0.32463596396370714</v>
      </c>
      <c r="E231" s="34">
        <f>IFERROR(E22/E15,0)</f>
        <v>0.37751296351495933</v>
      </c>
      <c r="F231" s="34">
        <f>IFERROR(F22/F15,0)</f>
        <v>0.36524665976763004</v>
      </c>
      <c r="G231" s="34">
        <f>IFERROR(G22/G15,0)</f>
        <v>0.36212998303277655</v>
      </c>
      <c r="H231" s="34">
        <f>IFERROR(H22/H15,0)</f>
        <v>0.38583512401340064</v>
      </c>
      <c r="I231" s="34">
        <f>IFERROR(I22/I15,0)</f>
        <v>0.34894421641422291</v>
      </c>
      <c r="J231" s="34">
        <f>IFERROR(J22/J15,0)</f>
        <v>0.39712606856828847</v>
      </c>
      <c r="K231" s="34">
        <f>IFERROR(K22/K15,0)</f>
        <v>0.39966204052538107</v>
      </c>
      <c r="L231" s="34">
        <f>IFERROR(L22/L15,0)</f>
        <v>0.32865689822156158</v>
      </c>
      <c r="M231" s="34">
        <f>IFERROR(M22/M15,0)</f>
        <v>0.33820962469236343</v>
      </c>
      <c r="N231" s="34">
        <f>IFERROR(N22/N15,0)</f>
        <v>0.31089795965182149</v>
      </c>
      <c r="O231" s="34">
        <f>IFERROR(O22/O15,0)</f>
        <v>0.46405786474269156</v>
      </c>
      <c r="P231" s="34">
        <f>IFERROR(P22/P15,0)</f>
        <v>0.27719315289756796</v>
      </c>
      <c r="Q231" s="34">
        <f>IFERROR(Q22/Q15,0)</f>
        <v>0.48866971142936588</v>
      </c>
      <c r="R231" s="34">
        <f>IFERROR(R22/R15,0)</f>
        <v>0.37456889941861243</v>
      </c>
      <c r="S231" s="34">
        <f>IFERROR(S22/S15,0)</f>
        <v>0.3085075017499268</v>
      </c>
      <c r="T231" s="34">
        <f>IFERROR(T22/T15,0)</f>
        <v>0.35808419961613047</v>
      </c>
      <c r="U231" s="34">
        <f>IFERROR(U22/U15,0)</f>
        <v>0.35324722072345072</v>
      </c>
      <c r="V231" s="34">
        <f>IFERROR(V22/V15,0)</f>
        <v>0.3170916458869828</v>
      </c>
      <c r="W231" s="34">
        <f>IFERROR(W22/W15,0)</f>
        <v>0.45624803866781133</v>
      </c>
      <c r="X231" s="34">
        <f>IFERROR(X22/X15,0)</f>
        <v>0.39278175423021316</v>
      </c>
      <c r="Y231" s="34">
        <f>IFERROR(Y22/Y15,0)</f>
        <v>0.33681483913203852</v>
      </c>
      <c r="Z231" s="34">
        <f>IFERROR(Z22/Z15,0)</f>
        <v>0.36936045399876094</v>
      </c>
      <c r="AA231" s="34">
        <f>IFERROR(AA22/AA15,0)</f>
        <v>0.41671508604302515</v>
      </c>
    </row>
    <row r="233" ht="15" customHeight="1">
      <c r="A233" s="2" t="inlineStr">
        <is>
          <t>Schedule 4 — Operating Expenses</t>
        </is>
      </c>
    </row>
    <row r="234" ht="21.75" customHeight="1">
      <c r="C234" s="18" t="inlineStr">
        <is>
          <t>Jun-24</t>
        </is>
      </c>
      <c r="D234" s="18" t="inlineStr">
        <is>
          <t>Jul-24</t>
        </is>
      </c>
      <c r="E234" s="18" t="inlineStr">
        <is>
          <t>Aug-24</t>
        </is>
      </c>
      <c r="F234" s="18" t="inlineStr">
        <is>
          <t>Sep-24</t>
        </is>
      </c>
      <c r="G234" s="18" t="inlineStr">
        <is>
          <t>Oct-24</t>
        </is>
      </c>
      <c r="H234" s="18" t="inlineStr">
        <is>
          <t>Nov-24</t>
        </is>
      </c>
      <c r="I234" s="18" t="inlineStr">
        <is>
          <t>Dec-24</t>
        </is>
      </c>
      <c r="J234" s="18" t="inlineStr">
        <is>
          <t>Jan-25</t>
        </is>
      </c>
      <c r="K234" s="18" t="inlineStr">
        <is>
          <t>Feb-25</t>
        </is>
      </c>
      <c r="L234" s="18" t="inlineStr">
        <is>
          <t>Mar-25</t>
        </is>
      </c>
      <c r="M234" s="18" t="inlineStr">
        <is>
          <t>Apr-25</t>
        </is>
      </c>
      <c r="N234" s="18" t="inlineStr">
        <is>
          <t>May-25</t>
        </is>
      </c>
      <c r="O234" s="18" t="inlineStr">
        <is>
          <t>Jun-25</t>
        </is>
      </c>
      <c r="P234" s="18" t="inlineStr">
        <is>
          <t>Jul-25</t>
        </is>
      </c>
      <c r="Q234" s="18" t="inlineStr">
        <is>
          <t>Aug-25</t>
        </is>
      </c>
      <c r="R234" s="18" t="inlineStr">
        <is>
          <t>Sep-25</t>
        </is>
      </c>
      <c r="S234" s="18" t="inlineStr">
        <is>
          <t>Oct-25</t>
        </is>
      </c>
      <c r="T234" s="18" t="inlineStr">
        <is>
          <t>Nov-25</t>
        </is>
      </c>
      <c r="U234" s="18" t="inlineStr">
        <is>
          <t>Dec-25</t>
        </is>
      </c>
      <c r="V234" s="18" t="inlineStr">
        <is>
          <t>Jan-26</t>
        </is>
      </c>
      <c r="W234" s="18" t="inlineStr">
        <is>
          <t>Feb-26</t>
        </is>
      </c>
      <c r="X234" s="18" t="inlineStr">
        <is>
          <t>Mar-26</t>
        </is>
      </c>
      <c r="Y234" s="18" t="inlineStr">
        <is>
          <t>Apr-26</t>
        </is>
      </c>
      <c r="Z234" s="18" t="inlineStr">
        <is>
          <t>May-26</t>
        </is>
      </c>
      <c r="AA234" s="18" t="inlineStr">
        <is>
          <t>Jun-26</t>
        </is>
      </c>
    </row>
    <row r="235" ht="15" customHeight="1">
      <c r="A235" s="27" t="inlineStr">
        <is>
          <t>Total Marketing Expenses</t>
        </is>
      </c>
      <c r="C235" s="29">
        <f>C33</f>
        <v>6195.9399999999996</v>
      </c>
      <c r="D235" s="29">
        <f>D33</f>
        <v>5324.5600000000004</v>
      </c>
      <c r="E235" s="29">
        <f>E33</f>
        <v>5816.1600000000008</v>
      </c>
      <c r="F235" s="29">
        <f>F33</f>
        <v>5321.8400000000001</v>
      </c>
      <c r="G235" s="29">
        <f>G33</f>
        <v>5184.3699999999999</v>
      </c>
      <c r="H235" s="29">
        <f>H33</f>
        <v>4721.0599999999995</v>
      </c>
      <c r="I235" s="29">
        <f>I33</f>
        <v>4359.1299999999992</v>
      </c>
      <c r="J235" s="29">
        <f>J33</f>
        <v>3364.1199999999999</v>
      </c>
      <c r="K235" s="29">
        <f>K33</f>
        <v>3859.1699999999996</v>
      </c>
      <c r="L235" s="29">
        <f>L33</f>
        <v>3486.2099999999996</v>
      </c>
      <c r="M235" s="29">
        <f>M33</f>
        <v>3678.9699999999998</v>
      </c>
      <c r="N235" s="29">
        <f>N33</f>
        <v>4015.8299999999999</v>
      </c>
      <c r="O235" s="29">
        <f>O33</f>
        <v>4797.8000000000002</v>
      </c>
      <c r="P235" s="29">
        <f>P33</f>
        <v>4566.5500000000002</v>
      </c>
      <c r="Q235" s="29">
        <f>Q33</f>
        <v>4477.54</v>
      </c>
      <c r="R235" s="29">
        <f>R33</f>
        <v>3778.8000000000002</v>
      </c>
      <c r="S235" s="29">
        <f>S33</f>
        <v>3920.1700000000005</v>
      </c>
      <c r="T235" s="29">
        <f>T33</f>
        <v>4366.3800000000001</v>
      </c>
      <c r="U235" s="29">
        <f>U33</f>
        <v>4986.3299999999999</v>
      </c>
      <c r="V235" s="29">
        <f>V33</f>
        <v>3012.0400000000004</v>
      </c>
      <c r="W235" s="29">
        <f>W33</f>
        <v>4274.3999999999996</v>
      </c>
      <c r="X235" s="29">
        <f>X33</f>
        <v>4076.2800000000002</v>
      </c>
      <c r="Y235" s="29">
        <f>Y33</f>
        <v>4430.0799999999999</v>
      </c>
      <c r="Z235" s="29">
        <f>Z33</f>
        <v>4463.6000000000004</v>
      </c>
      <c r="AA235" s="29">
        <f>AA33</f>
        <v>4566.3199999999997</v>
      </c>
    </row>
    <row r="236" ht="15" customHeight="1">
      <c r="A236" s="27" t="inlineStr">
        <is>
          <t>Total Personnel &amp; Leadership</t>
        </is>
      </c>
      <c r="C236" s="29">
        <f>C45</f>
        <v>22048.899999999998</v>
      </c>
      <c r="D236" s="29">
        <f>D45</f>
        <v>23004.110000000001</v>
      </c>
      <c r="E236" s="29">
        <f>E45</f>
        <v>24309.790000000001</v>
      </c>
      <c r="F236" s="29">
        <f>F45</f>
        <v>23600.009999999995</v>
      </c>
      <c r="G236" s="29">
        <f>G45</f>
        <v>27003.679999999997</v>
      </c>
      <c r="H236" s="29">
        <f>H45</f>
        <v>24411.779999999999</v>
      </c>
      <c r="I236" s="29">
        <f>I45</f>
        <v>38555.699999999997</v>
      </c>
      <c r="J236" s="29">
        <f>J45</f>
        <v>24130.189999999995</v>
      </c>
      <c r="K236" s="29">
        <f>K45</f>
        <v>22406.720000000005</v>
      </c>
      <c r="L236" s="29">
        <f>L45</f>
        <v>22069.959999999999</v>
      </c>
      <c r="M236" s="29">
        <f>M45</f>
        <v>22607.549999999999</v>
      </c>
      <c r="N236" s="29">
        <f>N45</f>
        <v>20305.209999999999</v>
      </c>
      <c r="O236" s="29">
        <f>O45</f>
        <v>18671.57</v>
      </c>
      <c r="P236" s="29">
        <f>P45</f>
        <v>22082.319999999996</v>
      </c>
      <c r="Q236" s="29">
        <f>Q45</f>
        <v>21275.610000000004</v>
      </c>
      <c r="R236" s="29">
        <f>R45</f>
        <v>20426.220000000001</v>
      </c>
      <c r="S236" s="29">
        <f>S45</f>
        <v>23494.940000000002</v>
      </c>
      <c r="T236" s="29">
        <f>T45</f>
        <v>25774.75</v>
      </c>
      <c r="U236" s="29">
        <f>U45</f>
        <v>40310.809999999998</v>
      </c>
      <c r="V236" s="29">
        <f>V45</f>
        <v>28221.639999999999</v>
      </c>
      <c r="W236" s="29">
        <f>W45</f>
        <v>24683.570000000003</v>
      </c>
      <c r="X236" s="29">
        <f>X45</f>
        <v>22830.079999999998</v>
      </c>
      <c r="Y236" s="29">
        <f>Y45</f>
        <v>26410.730000000003</v>
      </c>
      <c r="Z236" s="29">
        <f>Z45</f>
        <v>23558.799999999999</v>
      </c>
      <c r="AA236" s="29">
        <f>AA45</f>
        <v>22817.420000000002</v>
      </c>
    </row>
    <row r="237" ht="15" customHeight="1">
      <c r="A237" s="27" t="inlineStr">
        <is>
          <t>Total General &amp; Administrative</t>
        </is>
      </c>
      <c r="C237" s="29">
        <f>C64</f>
        <v>4277.29</v>
      </c>
      <c r="D237" s="29">
        <f>D64</f>
        <v>7295.1500000000005</v>
      </c>
      <c r="E237" s="29">
        <f>E64</f>
        <v>5131.6499999999996</v>
      </c>
      <c r="F237" s="29">
        <f>F64</f>
        <v>7649.7799999999997</v>
      </c>
      <c r="G237" s="29">
        <f>G64</f>
        <v>9611.5399999999991</v>
      </c>
      <c r="H237" s="29">
        <f>H64</f>
        <v>8128.0700000000006</v>
      </c>
      <c r="I237" s="29">
        <f>I64</f>
        <v>23559.240000000002</v>
      </c>
      <c r="J237" s="29">
        <f>J64</f>
        <v>8697.25</v>
      </c>
      <c r="K237" s="29">
        <f>K64</f>
        <v>7386.5199999999995</v>
      </c>
      <c r="L237" s="29">
        <f>L64</f>
        <v>5137.9200000000001</v>
      </c>
      <c r="M237" s="29">
        <f>M64</f>
        <v>3100.3599999999997</v>
      </c>
      <c r="N237" s="29">
        <f>N64</f>
        <v>5026.1300000000001</v>
      </c>
      <c r="O237" s="29">
        <f>O64</f>
        <v>3980.1599999999999</v>
      </c>
      <c r="P237" s="29">
        <f>P64</f>
        <v>3046.8599999999992</v>
      </c>
      <c r="Q237" s="29">
        <f>Q64</f>
        <v>3159.9399999999996</v>
      </c>
      <c r="R237" s="29">
        <f>R64</f>
        <v>6070.1499999999996</v>
      </c>
      <c r="S237" s="29">
        <f>S64</f>
        <v>8088.6199999999999</v>
      </c>
      <c r="T237" s="29">
        <f>T64</f>
        <v>3480.0299999999997</v>
      </c>
      <c r="U237" s="29">
        <f>U64</f>
        <v>11797.879999999999</v>
      </c>
      <c r="V237" s="29">
        <f>V64</f>
        <v>5387.7499999999991</v>
      </c>
      <c r="W237" s="29">
        <f>W64</f>
        <v>3575.9999999999995</v>
      </c>
      <c r="X237" s="29">
        <f>X64</f>
        <v>2801.1899999999996</v>
      </c>
      <c r="Y237" s="29">
        <f>Y64</f>
        <v>3610.9399999999996</v>
      </c>
      <c r="Z237" s="29">
        <f>Z64</f>
        <v>3220.79</v>
      </c>
      <c r="AA237" s="29">
        <f>AA64</f>
        <v>4383.0399999999991</v>
      </c>
    </row>
    <row r="238" ht="15" customHeight="1">
      <c r="A238" s="27" t="inlineStr">
        <is>
          <t>Total Fees and Charges</t>
        </is>
      </c>
      <c r="C238" s="29">
        <f>C69</f>
        <v>2492.1500000000001</v>
      </c>
      <c r="D238" s="29">
        <f>D69</f>
        <v>2700.46</v>
      </c>
      <c r="E238" s="29">
        <f>E69</f>
        <v>2576.75</v>
      </c>
      <c r="F238" s="29">
        <f>F69</f>
        <v>2375.7799999999997</v>
      </c>
      <c r="G238" s="29">
        <f>G69</f>
        <v>2608.0100000000002</v>
      </c>
      <c r="H238" s="29">
        <f>H69</f>
        <v>2589.3800000000001</v>
      </c>
      <c r="I238" s="29">
        <f>I69</f>
        <v>2393.0500000000002</v>
      </c>
      <c r="J238" s="29">
        <f>J69</f>
        <v>2268.7199999999998</v>
      </c>
      <c r="K238" s="29">
        <f>K69</f>
        <v>2239.8499999999999</v>
      </c>
      <c r="L238" s="29">
        <f>L69</f>
        <v>2527.5699999999997</v>
      </c>
      <c r="M238" s="29">
        <f>M69</f>
        <v>2915.6999999999998</v>
      </c>
      <c r="N238" s="29">
        <f>N69</f>
        <v>3017.29</v>
      </c>
      <c r="O238" s="29">
        <f>O69</f>
        <v>1930.1300000000001</v>
      </c>
      <c r="P238" s="29">
        <f>P69</f>
        <v>3556.7799999999997</v>
      </c>
      <c r="Q238" s="29">
        <f>Q69</f>
        <v>2297.5599999999999</v>
      </c>
      <c r="R238" s="29">
        <f>R69</f>
        <v>2430.77</v>
      </c>
      <c r="S238" s="29">
        <f>S69</f>
        <v>2865.5900000000001</v>
      </c>
      <c r="T238" s="29">
        <f>T69</f>
        <v>2722.7600000000002</v>
      </c>
      <c r="U238" s="29">
        <f>U69</f>
        <v>2498.4499999999998</v>
      </c>
      <c r="V238" s="29">
        <f>V69</f>
        <v>2614.9299999999998</v>
      </c>
      <c r="W238" s="29">
        <f>W69</f>
        <v>2005.47</v>
      </c>
      <c r="X238" s="29">
        <f>X69</f>
        <v>2167.6799999999998</v>
      </c>
      <c r="Y238" s="29">
        <f>Y69</f>
        <v>2779.73</v>
      </c>
      <c r="Z238" s="29">
        <f>Z69</f>
        <v>2387.5900000000001</v>
      </c>
      <c r="AA238" s="29">
        <f>AA69</f>
        <v>1928.05</v>
      </c>
    </row>
    <row r="239" ht="15" customHeight="1">
      <c r="A239" s="28" t="inlineStr">
        <is>
          <t>Total Operating Expenses</t>
        </is>
      </c>
      <c r="C239" s="22">
        <f>SUM(C235:C238)</f>
        <v>35014.279999999999</v>
      </c>
      <c r="D239" s="22">
        <f>SUM(D235:D238)</f>
        <v>38324.279999999999</v>
      </c>
      <c r="E239" s="22">
        <f>SUM(E235:E238)</f>
        <v>37834.349999999999</v>
      </c>
      <c r="F239" s="22">
        <f>SUM(F235:F238)</f>
        <v>38947.409999999996</v>
      </c>
      <c r="G239" s="22">
        <f>SUM(G235:G238)</f>
        <v>44407.599999999999</v>
      </c>
      <c r="H239" s="22">
        <f>SUM(H235:H238)</f>
        <v>39850.289999999994</v>
      </c>
      <c r="I239" s="22">
        <f>SUM(I235:I238)</f>
        <v>68867.119999999995</v>
      </c>
      <c r="J239" s="22">
        <f>SUM(J235:J238)</f>
        <v>38460.279999999999</v>
      </c>
      <c r="K239" s="22">
        <f>SUM(K235:K238)</f>
        <v>35892.260000000002</v>
      </c>
      <c r="L239" s="22">
        <f>SUM(L235:L238)</f>
        <v>33221.659999999996</v>
      </c>
      <c r="M239" s="22">
        <f>SUM(M235:M238)</f>
        <v>32302.580000000002</v>
      </c>
      <c r="N239" s="22">
        <f>SUM(N235:N238)</f>
        <v>32364.460000000003</v>
      </c>
      <c r="O239" s="22">
        <f>SUM(O235:O238)</f>
        <v>29379.66</v>
      </c>
      <c r="P239" s="22">
        <f>SUM(P235:P238)</f>
        <v>33252.509999999995</v>
      </c>
      <c r="Q239" s="22">
        <f>SUM(Q235:Q238)</f>
        <v>31210.650000000005</v>
      </c>
      <c r="R239" s="22">
        <f>SUM(R235:R238)</f>
        <v>32705.939999999999</v>
      </c>
      <c r="S239" s="22">
        <f>SUM(S235:S238)</f>
        <v>38369.320000000007</v>
      </c>
      <c r="T239" s="22">
        <f>SUM(T235:T238)</f>
        <v>36343.920000000006</v>
      </c>
      <c r="U239" s="22">
        <f>SUM(U235:U238)</f>
        <v>59593.469999999994</v>
      </c>
      <c r="V239" s="22">
        <f>SUM(V235:V238)</f>
        <v>39236.360000000001</v>
      </c>
      <c r="W239" s="22">
        <f>SUM(W235:W238)</f>
        <v>34539.440000000002</v>
      </c>
      <c r="X239" s="22">
        <f>SUM(X235:X238)</f>
        <v>31875.229999999996</v>
      </c>
      <c r="Y239" s="22">
        <f>SUM(Y235:Y238)</f>
        <v>37231.48000000001</v>
      </c>
      <c r="Z239" s="22">
        <f>SUM(Z235:Z238)</f>
        <v>33630.779999999999</v>
      </c>
      <c r="AA239" s="22">
        <f>SUM(AA235:AA238)</f>
        <v>33694.830000000002</v>
      </c>
    </row>
    <row r="240" ht="15" customHeight="1">
      <c r="A240" s="27" t="inlineStr">
        <is>
          <t>Total Marketing Expenses % of Net Revenue</t>
        </is>
      </c>
      <c r="C240" s="25">
        <f>IFERROR(C33/C15,0)</f>
        <v>0.094566292742592511</v>
      </c>
      <c r="D240" s="25">
        <f>IFERROR(D33/D15,0)</f>
        <v>0.067779168550107335</v>
      </c>
      <c r="E240" s="25">
        <f>IFERROR(E33/E15,0)</f>
        <v>0.083752154585865934</v>
      </c>
      <c r="F240" s="25">
        <f>IFERROR(F33/F15,0)</f>
        <v>0.076661127462391412</v>
      </c>
      <c r="G240" s="25">
        <f>IFERROR(G33/G15,0)</f>
        <v>0.069493098503458181</v>
      </c>
      <c r="H240" s="25">
        <f>IFERROR(H33/H15,0)</f>
        <v>0.067875616530212665</v>
      </c>
      <c r="I240" s="25">
        <f>IFERROR(I33/I15,0)</f>
        <v>0.0638210837548049</v>
      </c>
      <c r="J240" s="25">
        <f>IFERROR(J33/J15,0)</f>
        <v>0.051293717414632706</v>
      </c>
      <c r="K240" s="25">
        <f>IFERROR(K33/K15,0)</f>
        <v>0.063795884644135797</v>
      </c>
      <c r="L240" s="25">
        <f>IFERROR(L33/L15,0)</f>
        <v>0.050941677484667262</v>
      </c>
      <c r="M240" s="25">
        <f>IFERROR(M33/M15,0)</f>
        <v>0.048987101200932769</v>
      </c>
      <c r="N240" s="25">
        <f>IFERROR(N33/N15,0)</f>
        <v>0.049526964170731699</v>
      </c>
      <c r="O240" s="25">
        <f>IFERROR(O33/O15,0)</f>
        <v>0.087254683724049834</v>
      </c>
      <c r="P240" s="25">
        <f>IFERROR(P33/P15,0)</f>
        <v>0.048117971984298534</v>
      </c>
      <c r="Q240" s="25">
        <f>IFERROR(Q33/Q15,0)</f>
        <v>0.071552029966089989</v>
      </c>
      <c r="R240" s="25">
        <f>IFERROR(R33/R15,0)</f>
        <v>0.04861363404796628</v>
      </c>
      <c r="S240" s="25">
        <f>IFERROR(S33/S15,0)</f>
        <v>0.041337815057995927</v>
      </c>
      <c r="T240" s="25">
        <f>IFERROR(T33/T15,0)</f>
        <v>0.054082354584882836</v>
      </c>
      <c r="U240" s="25">
        <f>IFERROR(U33/U15,0)</f>
        <v>0.062801423102441911</v>
      </c>
      <c r="V240" s="25">
        <f>IFERROR(V33/V15,0)</f>
        <v>0.032776385210995178</v>
      </c>
      <c r="W240" s="25">
        <f>IFERROR(W33/W15,0)</f>
        <v>0.06713528173918451</v>
      </c>
      <c r="X240" s="25">
        <f>IFERROR(X33/X15,0)</f>
        <v>0.060964604371980577</v>
      </c>
      <c r="Y240" s="25">
        <f>IFERROR(Y33/Y15,0)</f>
        <v>0.049652366856444377</v>
      </c>
      <c r="Z240" s="25">
        <f>IFERROR(Z33/Z15,0)</f>
        <v>0.058182375599587006</v>
      </c>
      <c r="AA240" s="25">
        <f>IFERROR(AA33/AA15,0)</f>
        <v>0.071207203430929955</v>
      </c>
    </row>
    <row r="241" ht="15" customHeight="1">
      <c r="A241" s="27" t="inlineStr">
        <is>
          <t>Total Personnel &amp; Leadership % of Net Revenue</t>
        </is>
      </c>
      <c r="C241" s="25">
        <f>IFERROR(C45/C15,0)</f>
        <v>0.33652403542515713</v>
      </c>
      <c r="D241" s="25">
        <f>IFERROR(D45/D15,0)</f>
        <v>0.29283160468380665</v>
      </c>
      <c r="E241" s="25">
        <f>IFERROR(E45/E15,0)</f>
        <v>0.35005867961506176</v>
      </c>
      <c r="F241" s="25">
        <f>IFERROR(F45/F15,0)</f>
        <v>0.3399582427738736</v>
      </c>
      <c r="G241" s="25">
        <f>IFERROR(G45/G15,0)</f>
        <v>0.36196671807680847</v>
      </c>
      <c r="H241" s="25">
        <f>IFERROR(H45/H15,0)</f>
        <v>0.35097300565972794</v>
      </c>
      <c r="I241" s="25">
        <f>IFERROR(I45/I15,0)</f>
        <v>0.56448570217569372</v>
      </c>
      <c r="J241" s="25">
        <f>IFERROR(J45/J15,0)</f>
        <v>0.36792003466624129</v>
      </c>
      <c r="K241" s="25">
        <f>IFERROR(K45/K15,0)</f>
        <v>0.37040517115686816</v>
      </c>
      <c r="L241" s="25">
        <f>IFERROR(L45/L15,0)</f>
        <v>0.32249370646619313</v>
      </c>
      <c r="M241" s="25">
        <f>IFERROR(M45/M15,0)</f>
        <v>0.30102945654766078</v>
      </c>
      <c r="N241" s="25">
        <f>IFERROR(N45/N15,0)</f>
        <v>0.25042280379129173</v>
      </c>
      <c r="O241" s="25">
        <f>IFERROR(O45/O15,0)</f>
        <v>0.33956853870137499</v>
      </c>
      <c r="P241" s="25">
        <f>IFERROR(P45/P15,0)</f>
        <v>0.23268254045358422</v>
      </c>
      <c r="Q241" s="25">
        <f>IFERROR(Q45/Q15,0)</f>
        <v>0.33998871797166397</v>
      </c>
      <c r="R241" s="25">
        <f>IFERROR(R45/R15,0)</f>
        <v>0.26277992591914096</v>
      </c>
      <c r="S241" s="25">
        <f>IFERROR(S45/S15,0)</f>
        <v>0.24775187926000933</v>
      </c>
      <c r="T241" s="25">
        <f>IFERROR(T45/T15,0)</f>
        <v>0.31924824885527803</v>
      </c>
      <c r="U241" s="25">
        <f>IFERROR(U45/U15,0)</f>
        <v>0.50770330772575145</v>
      </c>
      <c r="V241" s="25">
        <f>IFERROR(V45/V15,0)</f>
        <v>0.30710194550073366</v>
      </c>
      <c r="W241" s="25">
        <f>IFERROR(W45/W15,0)</f>
        <v>0.38768913210716893</v>
      </c>
      <c r="X241" s="25">
        <f>IFERROR(X45/X15,0)</f>
        <v>0.34144533618413508</v>
      </c>
      <c r="Y241" s="25">
        <f>IFERROR(Y45/Y15,0)</f>
        <v>0.2960116419808449</v>
      </c>
      <c r="Z241" s="25">
        <f>IFERROR(Z45/Z15,0)</f>
        <v>0.30708552519839372</v>
      </c>
      <c r="AA241" s="25">
        <f>IFERROR(AA45/AA15,0)</f>
        <v>0.35581489420561191</v>
      </c>
    </row>
    <row r="242" ht="15" customHeight="1">
      <c r="A242" s="27" t="inlineStr">
        <is>
          <t>Total General &amp; Administrative % of Net Revenue</t>
        </is>
      </c>
      <c r="C242" s="25">
        <f>IFERROR(C64/C15,0)</f>
        <v>0.06528266224091317</v>
      </c>
      <c r="D242" s="25">
        <f>IFERROR(D64/D15,0)</f>
        <v>0.092863861323436214</v>
      </c>
      <c r="E242" s="25">
        <f>IFERROR(E64/E15,0)</f>
        <v>0.07389527524699438</v>
      </c>
      <c r="F242" s="25">
        <f>IFERROR(F64/F15,0)</f>
        <v>0.11019511290066077</v>
      </c>
      <c r="G242" s="25">
        <f>IFERROR(G64/G15,0)</f>
        <v>0.12883642486742428</v>
      </c>
      <c r="H242" s="25">
        <f>IFERROR(H64/H15,0)</f>
        <v>0.11685887543278962</v>
      </c>
      <c r="I242" s="25">
        <f>IFERROR(I64/I15,0)</f>
        <v>0.34492576024104588</v>
      </c>
      <c r="J242" s="25">
        <f>IFERROR(J64/J15,0)</f>
        <v>0.13260950375860978</v>
      </c>
      <c r="K242" s="25">
        <f>IFERROR(K64/K15,0)</f>
        <v>0.12210645756512463</v>
      </c>
      <c r="L242" s="25">
        <f>IFERROR(L64/L15,0)</f>
        <v>0.075077021631520094</v>
      </c>
      <c r="M242" s="25">
        <f>IFERROR(M64/M15,0)</f>
        <v>0.041282654949435275</v>
      </c>
      <c r="N242" s="25">
        <f>IFERROR(N64/N15,0)</f>
        <v>0.061986926843875294</v>
      </c>
      <c r="O242" s="25">
        <f>IFERROR(O64/O15,0)</f>
        <v>0.072384760092357781</v>
      </c>
      <c r="P242" s="25">
        <f>IFERROR(P64/P15,0)</f>
        <v>0.032104920370975856</v>
      </c>
      <c r="Q242" s="25">
        <f>IFERROR(Q64/Q15,0)</f>
        <v>0.050496505128049415</v>
      </c>
      <c r="R242" s="25">
        <f>IFERROR(R64/R15,0)</f>
        <v>0.078091471026850448</v>
      </c>
      <c r="S242" s="25">
        <f>IFERROR(S64/S15,0)</f>
        <v>0.085293718801584359</v>
      </c>
      <c r="T242" s="25">
        <f>IFERROR(T64/T15,0)</f>
        <v>0.04310394799033291</v>
      </c>
      <c r="U242" s="25">
        <f>IFERROR(U64/U15,0)</f>
        <v>0.14859097845345923</v>
      </c>
      <c r="V242" s="25">
        <f>IFERROR(V64/V15,0)</f>
        <v>0.058628361316761801</v>
      </c>
      <c r="W242" s="25">
        <f>IFERROR(W64/W15,0)</f>
        <v>0.056165957210210504</v>
      </c>
      <c r="X242" s="25">
        <f>IFERROR(X64/X15,0)</f>
        <v>0.041894433189267721</v>
      </c>
      <c r="Y242" s="25">
        <f>IFERROR(Y64/Y15,0)</f>
        <v>0.040471440149299619</v>
      </c>
      <c r="Z242" s="25">
        <f>IFERROR(Z64/Z15,0)</f>
        <v>0.041982528342009551</v>
      </c>
      <c r="AA242" s="25">
        <f>IFERROR(AA64/AA15,0)</f>
        <v>0.068349134735608358</v>
      </c>
    </row>
    <row r="243" ht="15" customHeight="1">
      <c r="A243" s="27" t="inlineStr">
        <is>
          <t>Total Fees and Charges % of Net Revenue</t>
        </is>
      </c>
      <c r="C243" s="25">
        <f>IFERROR(C69/C15,0)</f>
        <v>0.038036744458218121</v>
      </c>
      <c r="D243" s="25">
        <f>IFERROR(D69/D15,0)</f>
        <v>0.034375597890308841</v>
      </c>
      <c r="E243" s="25">
        <f>IFERROR(E69/E15,0)</f>
        <v>0.037104956591484765</v>
      </c>
      <c r="F243" s="25">
        <f>IFERROR(F69/F15,0)</f>
        <v>0.034223120838394287</v>
      </c>
      <c r="G243" s="25">
        <f>IFERROR(G69/G15,0)</f>
        <v>0.034958673055357548</v>
      </c>
      <c r="H243" s="25">
        <f>IFERROR(H69/H15,0)</f>
        <v>0.037228030131157434</v>
      </c>
      <c r="I243" s="25">
        <f>IFERROR(I69/I15,0)</f>
        <v>0.035036129796412567</v>
      </c>
      <c r="J243" s="25">
        <f>IFERROR(J69/J15,0)</f>
        <v>0.034591834587626331</v>
      </c>
      <c r="K243" s="25">
        <f>IFERROR(K69/K15,0)</f>
        <v>0.037026928645322074</v>
      </c>
      <c r="L243" s="25">
        <f>IFERROR(L69/L15,0)</f>
        <v>0.036933706162256559</v>
      </c>
      <c r="M243" s="25">
        <f>IFERROR(M69/M15,0)</f>
        <v>0.03882382595442737</v>
      </c>
      <c r="N243" s="25">
        <f>IFERROR(N69/N15,0)</f>
        <v>0.037212036795060313</v>
      </c>
      <c r="O243" s="25">
        <f>IFERROR(O69/O15,0)</f>
        <v>0.035102105693505421</v>
      </c>
      <c r="P243" s="25">
        <f>IFERROR(P69/P15,0)</f>
        <v>0.03747797361121926</v>
      </c>
      <c r="Q243" s="25">
        <f>IFERROR(Q69/Q15,0)</f>
        <v>0.036715491535282703</v>
      </c>
      <c r="R243" s="25">
        <f>IFERROR(R69/R15,0)</f>
        <v>0.031271452110398799</v>
      </c>
      <c r="S243" s="25">
        <f>IFERROR(S69/S15,0)</f>
        <v>0.030217370535472323</v>
      </c>
      <c r="T243" s="25">
        <f>IFERROR(T69/T15,0)</f>
        <v>0.03372433727012665</v>
      </c>
      <c r="U243" s="25">
        <f>IFERROR(U69/U15,0)</f>
        <v>0.031467274638922009</v>
      </c>
      <c r="V243" s="25">
        <f>IFERROR(V69/V15,0)</f>
        <v>0.028455117787209865</v>
      </c>
      <c r="W243" s="25">
        <f>IFERROR(W69/W15,0)</f>
        <v>0.031498641556588609</v>
      </c>
      <c r="X243" s="25">
        <f>IFERROR(X69/X15,0)</f>
        <v>0.032419694821026732</v>
      </c>
      <c r="Y243" s="25">
        <f>IFERROR(Y69/Y15,0)</f>
        <v>0.031155232799828476</v>
      </c>
      <c r="Z243" s="25">
        <f>IFERROR(Z69/Z15,0)</f>
        <v>0.031121887749309515</v>
      </c>
      <c r="AA243" s="25">
        <f>IFERROR(AA69/AA15,0)</f>
        <v>0.030066015648269172</v>
      </c>
    </row>
    <row r="244" ht="15" customHeight="1">
      <c r="A244" s="28" t="inlineStr">
        <is>
          <t>Total Operating Expenses % of Net Revenue</t>
        </is>
      </c>
      <c r="C244" s="34">
        <f>IFERROR(C239/C15,0)</f>
        <v>0.53440973486688093</v>
      </c>
      <c r="D244" s="34">
        <f>IFERROR(D239/D15,0)</f>
        <v>0.48785023244765902</v>
      </c>
      <c r="E244" s="34">
        <f>IFERROR(E239/E15,0)</f>
        <v>0.54481106603940677</v>
      </c>
      <c r="F244" s="34">
        <f>IFERROR(F239/F15,0)</f>
        <v>0.5610376039753201</v>
      </c>
      <c r="G244" s="34">
        <f>IFERROR(G239/G15,0)</f>
        <v>0.59525491450304846</v>
      </c>
      <c r="H244" s="34">
        <f>IFERROR(H239/H15,0)</f>
        <v>0.57293552775388756</v>
      </c>
      <c r="I244" s="34">
        <f>IFERROR(I239/I15,0)</f>
        <v>1.0082686759679571</v>
      </c>
      <c r="J244" s="34">
        <f>IFERROR(J239/J15,0)</f>
        <v>0.58641509042711015</v>
      </c>
      <c r="K244" s="34">
        <f>IFERROR(K239/K15,0)</f>
        <v>0.59333444201145069</v>
      </c>
      <c r="L244" s="34">
        <f>IFERROR(L239/L15,0)</f>
        <v>0.48544611174463703</v>
      </c>
      <c r="M244" s="34">
        <f>IFERROR(M239/M15,0)</f>
        <v>0.43012303865245621</v>
      </c>
      <c r="N244" s="34">
        <f>IFERROR(N239/N15,0)</f>
        <v>0.39914873160095904</v>
      </c>
      <c r="O244" s="34">
        <f>IFERROR(O239/O15,0)</f>
        <v>0.534310088211288</v>
      </c>
      <c r="P244" s="34">
        <f>IFERROR(P239/P15,0)</f>
        <v>0.35038340642007787</v>
      </c>
      <c r="Q244" s="34">
        <f>IFERROR(Q239/Q15,0)</f>
        <v>0.4987527446010861</v>
      </c>
      <c r="R244" s="34">
        <f>IFERROR(R239/R15,0)</f>
        <v>0.42075648310435643</v>
      </c>
      <c r="S244" s="34">
        <f>IFERROR(S239/S15,0)</f>
        <v>0.40460078365506197</v>
      </c>
      <c r="T244" s="34">
        <f>IFERROR(T239/T15,0)</f>
        <v>0.45015888870062049</v>
      </c>
      <c r="U244" s="34">
        <f>IFERROR(U239/U15,0)</f>
        <v>0.75056298392057463</v>
      </c>
      <c r="V244" s="34">
        <f>IFERROR(V239/V15,0)</f>
        <v>0.42696180981570053</v>
      </c>
      <c r="W244" s="34">
        <f>IFERROR(W239/W15,0)</f>
        <v>0.54248901261315252</v>
      </c>
      <c r="X244" s="34">
        <f>IFERROR(X239/X15,0)</f>
        <v>0.47672406856641009</v>
      </c>
      <c r="Y244" s="34">
        <f>IFERROR(Y239/Y15,0)</f>
        <v>0.41729068178641748</v>
      </c>
      <c r="Z244" s="34">
        <f>IFERROR(Z239/Z15,0)</f>
        <v>0.43837231688929978</v>
      </c>
      <c r="AA244" s="34">
        <f>IFERROR(AA239/AA15,0)</f>
        <v>0.52543724802041947</v>
      </c>
    </row>
    <row r="246" ht="15" customHeight="1">
      <c r="A246" s="2" t="inlineStr">
        <is>
          <t>Schedule 5 — Interest &amp; Debt Service</t>
        </is>
      </c>
    </row>
    <row r="247" ht="21.75" customHeight="1">
      <c r="C247" s="18" t="inlineStr">
        <is>
          <t>Jun-24</t>
        </is>
      </c>
      <c r="D247" s="18" t="inlineStr">
        <is>
          <t>Jul-24</t>
        </is>
      </c>
      <c r="E247" s="18" t="inlineStr">
        <is>
          <t>Aug-24</t>
        </is>
      </c>
      <c r="F247" s="18" t="inlineStr">
        <is>
          <t>Sep-24</t>
        </is>
      </c>
      <c r="G247" s="18" t="inlineStr">
        <is>
          <t>Oct-24</t>
        </is>
      </c>
      <c r="H247" s="18" t="inlineStr">
        <is>
          <t>Nov-24</t>
        </is>
      </c>
      <c r="I247" s="18" t="inlineStr">
        <is>
          <t>Dec-24</t>
        </is>
      </c>
      <c r="J247" s="18" t="inlineStr">
        <is>
          <t>Jan-25</t>
        </is>
      </c>
      <c r="K247" s="18" t="inlineStr">
        <is>
          <t>Feb-25</t>
        </is>
      </c>
      <c r="L247" s="18" t="inlineStr">
        <is>
          <t>Mar-25</t>
        </is>
      </c>
      <c r="M247" s="18" t="inlineStr">
        <is>
          <t>Apr-25</t>
        </is>
      </c>
      <c r="N247" s="18" t="inlineStr">
        <is>
          <t>May-25</t>
        </is>
      </c>
      <c r="O247" s="18" t="inlineStr">
        <is>
          <t>Jun-25</t>
        </is>
      </c>
      <c r="P247" s="18" t="inlineStr">
        <is>
          <t>Jul-25</t>
        </is>
      </c>
      <c r="Q247" s="18" t="inlineStr">
        <is>
          <t>Aug-25</t>
        </is>
      </c>
      <c r="R247" s="18" t="inlineStr">
        <is>
          <t>Sep-25</t>
        </is>
      </c>
      <c r="S247" s="18" t="inlineStr">
        <is>
          <t>Oct-25</t>
        </is>
      </c>
      <c r="T247" s="18" t="inlineStr">
        <is>
          <t>Nov-25</t>
        </is>
      </c>
      <c r="U247" s="18" t="inlineStr">
        <is>
          <t>Dec-25</t>
        </is>
      </c>
      <c r="V247" s="18" t="inlineStr">
        <is>
          <t>Jan-26</t>
        </is>
      </c>
      <c r="W247" s="18" t="inlineStr">
        <is>
          <t>Feb-26</t>
        </is>
      </c>
      <c r="X247" s="18" t="inlineStr">
        <is>
          <t>Mar-26</t>
        </is>
      </c>
      <c r="Y247" s="18" t="inlineStr">
        <is>
          <t>Apr-26</t>
        </is>
      </c>
      <c r="Z247" s="18" t="inlineStr">
        <is>
          <t>May-26</t>
        </is>
      </c>
      <c r="AA247" s="18" t="inlineStr">
        <is>
          <t>Jun-26</t>
        </is>
      </c>
    </row>
    <row r="248" ht="15" customHeight="1">
      <c r="A248" s="27" t="inlineStr">
        <is>
          <t>Loan Payable — Opening Balance</t>
        </is>
      </c>
      <c r="C248" s="29">
        <f>B124</f>
        <v>5559.1000000000004</v>
      </c>
      <c r="D248" s="29">
        <f>C124</f>
        <v>2835.4900000000002</v>
      </c>
      <c r="E248" s="29">
        <f>D124</f>
        <v>1151.0800000000002</v>
      </c>
      <c r="F248" s="29">
        <f>E124</f>
        <v>0</v>
      </c>
      <c r="G248" s="29">
        <f>F124</f>
        <v>0</v>
      </c>
      <c r="H248" s="29">
        <f>G124</f>
        <v>0</v>
      </c>
      <c r="I248" s="29">
        <f>H124</f>
        <v>0</v>
      </c>
      <c r="J248" s="29">
        <f>I124</f>
        <v>0</v>
      </c>
      <c r="K248" s="29">
        <f>J124</f>
        <v>0</v>
      </c>
      <c r="L248" s="29">
        <f>K124</f>
        <v>0</v>
      </c>
      <c r="M248" s="29">
        <f>L124</f>
        <v>0</v>
      </c>
      <c r="N248" s="29">
        <f>M124</f>
        <v>0</v>
      </c>
      <c r="O248" s="29">
        <f>N124</f>
        <v>0</v>
      </c>
      <c r="P248" s="29">
        <f>O124</f>
        <v>0</v>
      </c>
      <c r="Q248" s="29">
        <f>P124</f>
        <v>0</v>
      </c>
      <c r="R248" s="29">
        <f>Q124</f>
        <v>0</v>
      </c>
      <c r="S248" s="29">
        <f>R124</f>
        <v>0</v>
      </c>
      <c r="T248" s="29">
        <f>S124</f>
        <v>0</v>
      </c>
      <c r="U248" s="29">
        <f>T124</f>
        <v>0</v>
      </c>
      <c r="V248" s="29">
        <f>U124</f>
        <v>0</v>
      </c>
      <c r="W248" s="29">
        <f>V124</f>
        <v>0</v>
      </c>
      <c r="X248" s="29">
        <f>W124</f>
        <v>0</v>
      </c>
      <c r="Y248" s="29">
        <f>X124</f>
        <v>0</v>
      </c>
      <c r="Z248" s="29">
        <f>Y124</f>
        <v>0</v>
      </c>
      <c r="AA248" s="29">
        <f>Z124</f>
        <v>0</v>
      </c>
    </row>
    <row r="249" ht="15" customHeight="1">
      <c r="A249" s="27" t="inlineStr">
        <is>
          <t>Loan Payable — Net Movement</t>
        </is>
      </c>
      <c r="C249" s="29">
        <f>C124-B124</f>
        <v>-2723.6100000000001</v>
      </c>
      <c r="D249" s="29">
        <f>D124-C124</f>
        <v>-1684.4100000000001</v>
      </c>
      <c r="E249" s="29">
        <f>E124-D124</f>
        <v>-1151.0800000000002</v>
      </c>
      <c r="F249" s="29">
        <f>F124-E124</f>
        <v>0</v>
      </c>
      <c r="G249" s="29">
        <f>G124-F124</f>
        <v>0</v>
      </c>
      <c r="H249" s="29">
        <f>H124-G124</f>
        <v>0</v>
      </c>
      <c r="I249" s="29">
        <f>I124-H124</f>
        <v>0</v>
      </c>
      <c r="J249" s="29">
        <f>J124-I124</f>
        <v>0</v>
      </c>
      <c r="K249" s="29">
        <f>K124-J124</f>
        <v>0</v>
      </c>
      <c r="L249" s="29">
        <f>L124-K124</f>
        <v>0</v>
      </c>
      <c r="M249" s="29">
        <f>M124-L124</f>
        <v>0</v>
      </c>
      <c r="N249" s="29">
        <f>N124-M124</f>
        <v>0</v>
      </c>
      <c r="O249" s="29">
        <f>O124-N124</f>
        <v>0</v>
      </c>
      <c r="P249" s="29">
        <f>P124-O124</f>
        <v>0</v>
      </c>
      <c r="Q249" s="29">
        <f>Q124-P124</f>
        <v>0</v>
      </c>
      <c r="R249" s="29">
        <f>R124-Q124</f>
        <v>0</v>
      </c>
      <c r="S249" s="29">
        <f>S124-R124</f>
        <v>0</v>
      </c>
      <c r="T249" s="29">
        <f>T124-S124</f>
        <v>0</v>
      </c>
      <c r="U249" s="29">
        <f>U124-T124</f>
        <v>0</v>
      </c>
      <c r="V249" s="29">
        <f>V124-U124</f>
        <v>0</v>
      </c>
      <c r="W249" s="29">
        <f>W124-V124</f>
        <v>0</v>
      </c>
      <c r="X249" s="29">
        <f>X124-W124</f>
        <v>0</v>
      </c>
      <c r="Y249" s="29">
        <f>Y124-X124</f>
        <v>0</v>
      </c>
      <c r="Z249" s="29">
        <f>Z124-Y124</f>
        <v>0</v>
      </c>
      <c r="AA249" s="29">
        <f>AA124-Z124</f>
        <v>0</v>
      </c>
    </row>
    <row r="250" ht="15" customHeight="1">
      <c r="A250" s="35" t="inlineStr">
        <is>
          <t>Loan Payable — Closing Balance</t>
        </is>
      </c>
      <c r="C250" s="22">
        <f>C124</f>
        <v>2835.4900000000002</v>
      </c>
      <c r="D250" s="22">
        <f>D124</f>
        <v>1151.0800000000002</v>
      </c>
      <c r="E250" s="22">
        <f>E124</f>
        <v>0</v>
      </c>
      <c r="F250" s="22">
        <f>F124</f>
        <v>0</v>
      </c>
      <c r="G250" s="22">
        <f>G124</f>
        <v>0</v>
      </c>
      <c r="H250" s="22">
        <f>H124</f>
        <v>0</v>
      </c>
      <c r="I250" s="22">
        <f>I124</f>
        <v>0</v>
      </c>
      <c r="J250" s="22">
        <f>J124</f>
        <v>0</v>
      </c>
      <c r="K250" s="22">
        <f>K124</f>
        <v>0</v>
      </c>
      <c r="L250" s="22">
        <f>L124</f>
        <v>0</v>
      </c>
      <c r="M250" s="22">
        <f>M124</f>
        <v>0</v>
      </c>
      <c r="N250" s="22">
        <f>N124</f>
        <v>0</v>
      </c>
      <c r="O250" s="22">
        <f>O124</f>
        <v>0</v>
      </c>
      <c r="P250" s="22">
        <f>P124</f>
        <v>0</v>
      </c>
      <c r="Q250" s="22">
        <f>Q124</f>
        <v>0</v>
      </c>
      <c r="R250" s="22">
        <f>R124</f>
        <v>0</v>
      </c>
      <c r="S250" s="22">
        <f>S124</f>
        <v>0</v>
      </c>
      <c r="T250" s="22">
        <f>T124</f>
        <v>0</v>
      </c>
      <c r="U250" s="22">
        <f>U124</f>
        <v>0</v>
      </c>
      <c r="V250" s="22">
        <f>V124</f>
        <v>0</v>
      </c>
      <c r="W250" s="22">
        <f>W124</f>
        <v>0</v>
      </c>
      <c r="X250" s="22">
        <f>X124</f>
        <v>0</v>
      </c>
      <c r="Y250" s="22">
        <f>Y124</f>
        <v>0</v>
      </c>
      <c r="Z250" s="22">
        <f>Z124</f>
        <v>0</v>
      </c>
      <c r="AA250" s="22">
        <f>AA124</f>
        <v>0</v>
      </c>
    </row>
    <row r="251" ht="15" customHeight="1">
      <c r="A251" s="27" t="inlineStr">
        <is>
          <t>Interest Expense on Loan</t>
        </is>
      </c>
      <c r="C251" s="29">
        <f>-C78</f>
        <v>386.68000000000001</v>
      </c>
      <c r="D251" s="29">
        <f>-D78</f>
        <v>239.13999999999999</v>
      </c>
      <c r="E251" s="29">
        <f>-E78</f>
        <v>164.06</v>
      </c>
      <c r="F251" s="29">
        <f>-F78</f>
        <v>0</v>
      </c>
      <c r="G251" s="29">
        <f>-G78</f>
        <v>0</v>
      </c>
      <c r="H251" s="29">
        <f>-H78</f>
        <v>0</v>
      </c>
      <c r="I251" s="29">
        <f>-I78</f>
        <v>1050</v>
      </c>
      <c r="J251" s="29">
        <f>-J78</f>
        <v>350</v>
      </c>
      <c r="K251" s="29">
        <f>-K78</f>
        <v>0</v>
      </c>
      <c r="L251" s="29">
        <f>-L78</f>
        <v>700</v>
      </c>
      <c r="M251" s="29">
        <f>-M78</f>
        <v>100</v>
      </c>
      <c r="N251" s="29">
        <f>-N78</f>
        <v>100</v>
      </c>
      <c r="O251" s="29">
        <f>-O78</f>
        <v>100</v>
      </c>
      <c r="P251" s="29">
        <f>-P78</f>
        <v>100</v>
      </c>
      <c r="Q251" s="29">
        <f>-Q78</f>
        <v>100</v>
      </c>
      <c r="R251" s="29">
        <f>-R78</f>
        <v>100</v>
      </c>
      <c r="S251" s="29">
        <f>-S78</f>
        <v>0</v>
      </c>
      <c r="T251" s="29">
        <f>-T78</f>
        <v>0</v>
      </c>
      <c r="U251" s="29">
        <f>-U78</f>
        <v>0</v>
      </c>
      <c r="V251" s="29">
        <f>-V78</f>
        <v>0</v>
      </c>
      <c r="W251" s="29">
        <f>-W78</f>
        <v>0</v>
      </c>
      <c r="X251" s="29">
        <f>-X78</f>
        <v>0</v>
      </c>
      <c r="Y251" s="29">
        <f>-Y78</f>
        <v>0</v>
      </c>
      <c r="Z251" s="29">
        <f>-Z78</f>
        <v>0</v>
      </c>
      <c r="AA251" s="29">
        <f>-AA78</f>
        <v>0</v>
      </c>
    </row>
    <row r="252" ht="15" customHeight="1">
      <c r="A252" s="27" t="inlineStr">
        <is>
          <t>Implied Annual Interest Rate on Loan</t>
        </is>
      </c>
      <c r="C252" s="25">
        <f>IFERROR(C251*12/AVERAGE(B124,C124),0)</f>
        <v>1.1055120023729568</v>
      </c>
      <c r="D252" s="25">
        <f>IFERROR(D251*12/AVERAGE(C124,D124),0)</f>
        <v>1.4396737044627332</v>
      </c>
      <c r="E252" s="25">
        <f>IFERROR(E251*12/AVERAGE(D124,E124),0)</f>
        <v>3.4206484345136738</v>
      </c>
      <c r="F252" s="25">
        <f>IFERROR(F251*12/AVERAGE(E124,F124),0)</f>
        <v>0</v>
      </c>
      <c r="G252" s="25">
        <f>IFERROR(G251*12/AVERAGE(F124,G124),0)</f>
        <v>0</v>
      </c>
      <c r="H252" s="25">
        <f>IFERROR(H251*12/AVERAGE(G124,H124),0)</f>
        <v>0</v>
      </c>
      <c r="I252" s="25">
        <f>IFERROR(I251*12/AVERAGE(H124,I124),0)</f>
        <v>0</v>
      </c>
      <c r="J252" s="25">
        <f>IFERROR(J251*12/AVERAGE(I124,J124),0)</f>
        <v>0</v>
      </c>
      <c r="K252" s="25">
        <f>IFERROR(K251*12/AVERAGE(J124,K124),0)</f>
        <v>0</v>
      </c>
      <c r="L252" s="25">
        <f>IFERROR(L251*12/AVERAGE(K124,L124),0)</f>
        <v>0</v>
      </c>
      <c r="M252" s="25">
        <f>IFERROR(M251*12/AVERAGE(L124,M124),0)</f>
        <v>0</v>
      </c>
      <c r="N252" s="25">
        <f>IFERROR(N251*12/AVERAGE(M124,N124),0)</f>
        <v>0</v>
      </c>
      <c r="O252" s="25">
        <f>IFERROR(O251*12/AVERAGE(N124,O124),0)</f>
        <v>0</v>
      </c>
      <c r="P252" s="25">
        <f>IFERROR(P251*12/AVERAGE(O124,P124),0)</f>
        <v>0</v>
      </c>
      <c r="Q252" s="25">
        <f>IFERROR(Q251*12/AVERAGE(P124,Q124),0)</f>
        <v>0</v>
      </c>
      <c r="R252" s="25">
        <f>IFERROR(R251*12/AVERAGE(Q124,R124),0)</f>
        <v>0</v>
      </c>
      <c r="S252" s="25">
        <f>IFERROR(S251*12/AVERAGE(R124,S124),0)</f>
        <v>0</v>
      </c>
      <c r="T252" s="25">
        <f>IFERROR(T251*12/AVERAGE(S124,T124),0)</f>
        <v>0</v>
      </c>
      <c r="U252" s="25">
        <f>IFERROR(U251*12/AVERAGE(T124,U124),0)</f>
        <v>0</v>
      </c>
      <c r="V252" s="25">
        <f>IFERROR(V251*12/AVERAGE(U124,V124),0)</f>
        <v>0</v>
      </c>
      <c r="W252" s="25">
        <f>IFERROR(W251*12/AVERAGE(V124,W124),0)</f>
        <v>0</v>
      </c>
      <c r="X252" s="25">
        <f>IFERROR(X251*12/AVERAGE(W124,X124),0)</f>
        <v>0</v>
      </c>
      <c r="Y252" s="25">
        <f>IFERROR(Y251*12/AVERAGE(X124,Y124),0)</f>
        <v>0</v>
      </c>
      <c r="Z252" s="25">
        <f>IFERROR(Z251*12/AVERAGE(Y124,Z124),0)</f>
        <v>0</v>
      </c>
      <c r="AA252" s="25">
        <f>IFERROR(AA251*12/AVERAGE(Z124,AA124),0)</f>
        <v>0</v>
      </c>
    </row>
    <row r="253" ht="15" customHeight="1">
      <c r="A253" s="27" t="inlineStr">
        <is>
          <t>Line of Credit (per GL) — Closing Balance</t>
        </is>
      </c>
      <c r="C253" s="29">
        <f>C119</f>
        <v>0</v>
      </c>
      <c r="D253" s="29">
        <f>D119</f>
        <v>0</v>
      </c>
      <c r="E253" s="29">
        <f>E119</f>
        <v>0</v>
      </c>
      <c r="F253" s="29">
        <f>F119</f>
        <v>0</v>
      </c>
      <c r="G253" s="29">
        <f>G119</f>
        <v>20000</v>
      </c>
      <c r="H253" s="29">
        <f>H119</f>
        <v>20000</v>
      </c>
      <c r="I253" s="29">
        <f>I119</f>
        <v>19133.330000000002</v>
      </c>
      <c r="J253" s="29">
        <f>J119</f>
        <v>17366.660000000003</v>
      </c>
      <c r="K253" s="29">
        <f>K119</f>
        <v>15349.990000000003</v>
      </c>
      <c r="L253" s="29">
        <f>L119</f>
        <v>14033.320000000003</v>
      </c>
      <c r="M253" s="29">
        <f>M119</f>
        <v>12116.650000000003</v>
      </c>
      <c r="N253" s="29">
        <f>N119</f>
        <v>10199.980000000003</v>
      </c>
      <c r="O253" s="29">
        <f>O119</f>
        <v>8433.3100000000031</v>
      </c>
      <c r="P253" s="29">
        <f>P119</f>
        <v>6766.6400000000031</v>
      </c>
      <c r="Q253" s="29">
        <f>Q119</f>
        <v>5099.970000000003</v>
      </c>
      <c r="R253" s="29">
        <f>R119</f>
        <v>3433.3000000000029</v>
      </c>
      <c r="S253" s="29">
        <f>S119</f>
        <v>1666.6300000000028</v>
      </c>
      <c r="T253" s="29">
        <f>T119</f>
        <v>2.7284841053187847e-12</v>
      </c>
      <c r="U253" s="29">
        <f>U119</f>
        <v>2.7284841053187847e-12</v>
      </c>
      <c r="V253" s="29">
        <f>V119</f>
        <v>2.7284841053187847e-12</v>
      </c>
      <c r="W253" s="29">
        <f>W119</f>
        <v>2.7284841053187847e-12</v>
      </c>
      <c r="X253" s="29">
        <f>X119</f>
        <v>2.7284841053187847e-12</v>
      </c>
      <c r="Y253" s="29">
        <f>Y119</f>
        <v>2.7284841053187847e-12</v>
      </c>
      <c r="Z253" s="29">
        <f>Z119</f>
        <v>2.7284841053187847e-12</v>
      </c>
      <c r="AA253" s="29">
        <f>AA119</f>
        <v>2.7284841053187847e-12</v>
      </c>
    </row>
    <row r="255" ht="15" customHeight="1">
      <c r="A255" s="27" t="inlineStr">
        <is>
          <t>Assumption — Minimum Cash Balance (USD)</t>
        </is>
      </c>
      <c r="B255" s="36" t="n">
        <v>0</v>
      </c>
    </row>
    <row r="256" ht="15" customHeight="1">
      <c r="A256" s="27" t="inlineStr">
        <is>
          <t>Assumption — Line of Credit Interest Rate (annual)</t>
        </is>
      </c>
      <c r="B256" s="37" t="n">
        <v>0.105</v>
      </c>
    </row>
    <row r="257" ht="15" customHeight="1">
      <c r="A257" s="35" t="inlineStr">
        <is>
          <t>Modeled Line of Credit — Closing Balance</t>
        </is>
      </c>
      <c r="C257" s="23">
        <f>C120</f>
        <v>0</v>
      </c>
      <c r="D257" s="23">
        <f>D120</f>
        <v>0</v>
      </c>
      <c r="E257" s="23">
        <f>E120</f>
        <v>0</v>
      </c>
      <c r="F257" s="23">
        <f>F120</f>
        <v>0</v>
      </c>
      <c r="G257" s="23">
        <f>G120</f>
        <v>0</v>
      </c>
      <c r="H257" s="23">
        <f>H120</f>
        <v>0</v>
      </c>
      <c r="I257" s="23">
        <f>I120</f>
        <v>0</v>
      </c>
      <c r="J257" s="23">
        <f>J120</f>
        <v>0</v>
      </c>
      <c r="K257" s="23">
        <f>K120</f>
        <v>0</v>
      </c>
      <c r="L257" s="23">
        <f>L120</f>
        <v>0</v>
      </c>
      <c r="M257" s="23">
        <f>M120</f>
        <v>0</v>
      </c>
      <c r="N257" s="23">
        <f>N120</f>
        <v>0</v>
      </c>
      <c r="O257" s="23">
        <f>O120</f>
        <v>0</v>
      </c>
      <c r="P257" s="23">
        <f>P120</f>
        <v>0</v>
      </c>
      <c r="Q257" s="23">
        <f>Q120</f>
        <v>0</v>
      </c>
      <c r="R257" s="23">
        <f>R120</f>
        <v>0</v>
      </c>
      <c r="S257" s="23">
        <f>S120</f>
        <v>0</v>
      </c>
      <c r="T257" s="23">
        <f>T120</f>
        <v>0</v>
      </c>
      <c r="U257" s="23">
        <f>U120</f>
        <v>0</v>
      </c>
      <c r="V257" s="23">
        <f>V120</f>
        <v>0</v>
      </c>
      <c r="W257" s="23">
        <f>W120</f>
        <v>0</v>
      </c>
      <c r="X257" s="23">
        <f>X120</f>
        <v>0</v>
      </c>
      <c r="Y257" s="23">
        <f>Y120</f>
        <v>0</v>
      </c>
      <c r="Z257" s="23">
        <f>Z120</f>
        <v>0</v>
      </c>
      <c r="AA257" s="23">
        <f>AA120</f>
        <v>0</v>
      </c>
    </row>
    <row r="258" ht="15" customHeight="1">
      <c r="A258" s="27" t="inlineStr">
        <is>
          <t>Interest Expense on Line of Credit</t>
        </is>
      </c>
      <c r="C258" s="32">
        <f>AVERAGE(0,C120)*$B$256/12</f>
        <v>0</v>
      </c>
      <c r="D258" s="32">
        <f>AVERAGE(C120,D120)*$B$256/12</f>
        <v>0</v>
      </c>
      <c r="E258" s="32">
        <f>AVERAGE(D120,E120)*$B$256/12</f>
        <v>0</v>
      </c>
      <c r="F258" s="32">
        <f>AVERAGE(E120,F120)*$B$256/12</f>
        <v>0</v>
      </c>
      <c r="G258" s="32">
        <f>AVERAGE(F120,G120)*$B$256/12</f>
        <v>0</v>
      </c>
      <c r="H258" s="32">
        <f>AVERAGE(G120,H120)*$B$256/12</f>
        <v>0</v>
      </c>
      <c r="I258" s="32">
        <f>AVERAGE(H120,I120)*$B$256/12</f>
        <v>0</v>
      </c>
      <c r="J258" s="32">
        <f>AVERAGE(I120,J120)*$B$256/12</f>
        <v>0</v>
      </c>
      <c r="K258" s="32">
        <f>AVERAGE(J120,K120)*$B$256/12</f>
        <v>0</v>
      </c>
      <c r="L258" s="32">
        <f>AVERAGE(K120,L120)*$B$256/12</f>
        <v>0</v>
      </c>
      <c r="M258" s="32">
        <f>AVERAGE(L120,M120)*$B$256/12</f>
        <v>0</v>
      </c>
      <c r="N258" s="32">
        <f>AVERAGE(M120,N120)*$B$256/12</f>
        <v>0</v>
      </c>
      <c r="O258" s="32">
        <f>AVERAGE(N120,O120)*$B$256/12</f>
        <v>0</v>
      </c>
      <c r="P258" s="32">
        <f>AVERAGE(O120,P120)*$B$256/12</f>
        <v>0</v>
      </c>
      <c r="Q258" s="32">
        <f>AVERAGE(P120,Q120)*$B$256/12</f>
        <v>0</v>
      </c>
      <c r="R258" s="32">
        <f>AVERAGE(Q120,R120)*$B$256/12</f>
        <v>0</v>
      </c>
      <c r="S258" s="32">
        <f>AVERAGE(R120,S120)*$B$256/12</f>
        <v>0</v>
      </c>
      <c r="T258" s="32">
        <f>AVERAGE(S120,T120)*$B$256/12</f>
        <v>0</v>
      </c>
      <c r="U258" s="32">
        <f>AVERAGE(T120,U120)*$B$256/12</f>
        <v>0</v>
      </c>
      <c r="V258" s="32">
        <f>AVERAGE(U120,V120)*$B$256/12</f>
        <v>0</v>
      </c>
      <c r="W258" s="32">
        <f>AVERAGE(V120,W120)*$B$256/12</f>
        <v>0</v>
      </c>
      <c r="X258" s="32">
        <f>AVERAGE(W120,X120)*$B$256/12</f>
        <v>0</v>
      </c>
      <c r="Y258" s="32">
        <f>AVERAGE(X120,Y120)*$B$256/12</f>
        <v>0</v>
      </c>
      <c r="Z258" s="32">
        <f>AVERAGE(Y120,Z120)*$B$256/12</f>
        <v>0</v>
      </c>
      <c r="AA258" s="32">
        <f>AVERAGE(Z120,AA120)*$B$256/12</f>
        <v>0</v>
      </c>
    </row>
    <row r="260" ht="15" customHeight="1">
      <c r="A260" s="2" t="inlineStr">
        <is>
          <t>Schedule 6 — Taxes</t>
        </is>
      </c>
    </row>
    <row r="261" ht="21.75" customHeight="1">
      <c r="C261" s="18" t="inlineStr">
        <is>
          <t>Jun-24</t>
        </is>
      </c>
      <c r="D261" s="18" t="inlineStr">
        <is>
          <t>Jul-24</t>
        </is>
      </c>
      <c r="E261" s="18" t="inlineStr">
        <is>
          <t>Aug-24</t>
        </is>
      </c>
      <c r="F261" s="18" t="inlineStr">
        <is>
          <t>Sep-24</t>
        </is>
      </c>
      <c r="G261" s="18" t="inlineStr">
        <is>
          <t>Oct-24</t>
        </is>
      </c>
      <c r="H261" s="18" t="inlineStr">
        <is>
          <t>Nov-24</t>
        </is>
      </c>
      <c r="I261" s="18" t="inlineStr">
        <is>
          <t>Dec-24</t>
        </is>
      </c>
      <c r="J261" s="18" t="inlineStr">
        <is>
          <t>Jan-25</t>
        </is>
      </c>
      <c r="K261" s="18" t="inlineStr">
        <is>
          <t>Feb-25</t>
        </is>
      </c>
      <c r="L261" s="18" t="inlineStr">
        <is>
          <t>Mar-25</t>
        </is>
      </c>
      <c r="M261" s="18" t="inlineStr">
        <is>
          <t>Apr-25</t>
        </is>
      </c>
      <c r="N261" s="18" t="inlineStr">
        <is>
          <t>May-25</t>
        </is>
      </c>
      <c r="O261" s="18" t="inlineStr">
        <is>
          <t>Jun-25</t>
        </is>
      </c>
      <c r="P261" s="18" t="inlineStr">
        <is>
          <t>Jul-25</t>
        </is>
      </c>
      <c r="Q261" s="18" t="inlineStr">
        <is>
          <t>Aug-25</t>
        </is>
      </c>
      <c r="R261" s="18" t="inlineStr">
        <is>
          <t>Sep-25</t>
        </is>
      </c>
      <c r="S261" s="18" t="inlineStr">
        <is>
          <t>Oct-25</t>
        </is>
      </c>
      <c r="T261" s="18" t="inlineStr">
        <is>
          <t>Nov-25</t>
        </is>
      </c>
      <c r="U261" s="18" t="inlineStr">
        <is>
          <t>Dec-25</t>
        </is>
      </c>
      <c r="V261" s="18" t="inlineStr">
        <is>
          <t>Jan-26</t>
        </is>
      </c>
      <c r="W261" s="18" t="inlineStr">
        <is>
          <t>Feb-26</t>
        </is>
      </c>
      <c r="X261" s="18" t="inlineStr">
        <is>
          <t>Mar-26</t>
        </is>
      </c>
      <c r="Y261" s="18" t="inlineStr">
        <is>
          <t>Apr-26</t>
        </is>
      </c>
      <c r="Z261" s="18" t="inlineStr">
        <is>
          <t>May-26</t>
        </is>
      </c>
      <c r="AA261" s="18" t="inlineStr">
        <is>
          <t>Jun-26</t>
        </is>
      </c>
    </row>
    <row r="262" ht="15" customHeight="1">
      <c r="A262" s="27" t="inlineStr">
        <is>
          <t>Payroll Tax</t>
        </is>
      </c>
      <c r="C262" s="29">
        <f>C43</f>
        <v>548.24000000000001</v>
      </c>
      <c r="D262" s="29">
        <f>D43</f>
        <v>490.87</v>
      </c>
      <c r="E262" s="29">
        <f>E43</f>
        <v>433.5</v>
      </c>
      <c r="F262" s="29">
        <f>F43</f>
        <v>433.5</v>
      </c>
      <c r="G262" s="29">
        <f>G43</f>
        <v>433.5</v>
      </c>
      <c r="H262" s="29">
        <f>H43</f>
        <v>433.5</v>
      </c>
      <c r="I262" s="29">
        <f>I43</f>
        <v>433.5</v>
      </c>
      <c r="J262" s="29">
        <f>J43</f>
        <v>580.82000000000005</v>
      </c>
      <c r="K262" s="29">
        <f>K43</f>
        <v>580.04999999999995</v>
      </c>
      <c r="L262" s="29">
        <f>L43</f>
        <v>525.53999999999996</v>
      </c>
      <c r="M262" s="29">
        <f>M43</f>
        <v>479.70999999999998</v>
      </c>
      <c r="N262" s="29">
        <f>N43</f>
        <v>445.37</v>
      </c>
      <c r="O262" s="29">
        <f>O43</f>
        <v>433.5</v>
      </c>
      <c r="P262" s="29">
        <f>P43</f>
        <v>433.5</v>
      </c>
      <c r="Q262" s="29">
        <f>Q43</f>
        <v>433.5</v>
      </c>
      <c r="R262" s="29">
        <f>R43</f>
        <v>433.5</v>
      </c>
      <c r="S262" s="29">
        <f>S43</f>
        <v>433.5</v>
      </c>
      <c r="T262" s="29">
        <f>T43</f>
        <v>816</v>
      </c>
      <c r="U262" s="29">
        <f>U43</f>
        <v>816</v>
      </c>
      <c r="V262" s="29">
        <f>V43</f>
        <v>727.91999999999996</v>
      </c>
      <c r="W262" s="29">
        <f>W43</f>
        <v>689.91999999999996</v>
      </c>
      <c r="X262" s="29">
        <f>X43</f>
        <v>597.91999999999996</v>
      </c>
      <c r="Y262" s="29">
        <f>Y43</f>
        <v>545.97000000000003</v>
      </c>
      <c r="Z262" s="29">
        <f>Z43</f>
        <v>553.66999999999996</v>
      </c>
      <c r="AA262" s="29">
        <f>AA43</f>
        <v>543.27999999999997</v>
      </c>
    </row>
    <row r="263" ht="15" customHeight="1">
      <c r="A263" s="27" t="inlineStr">
        <is>
          <t>Taxes &amp; Licenses</t>
        </is>
      </c>
      <c r="C263" s="29">
        <f>C60</f>
        <v>0</v>
      </c>
      <c r="D263" s="29">
        <f>D60</f>
        <v>0</v>
      </c>
      <c r="E263" s="29">
        <f>E60</f>
        <v>0</v>
      </c>
      <c r="F263" s="29">
        <f>F60</f>
        <v>0</v>
      </c>
      <c r="G263" s="29">
        <f>G60</f>
        <v>0</v>
      </c>
      <c r="H263" s="29">
        <f>H60</f>
        <v>0</v>
      </c>
      <c r="I263" s="29">
        <f>I60</f>
        <v>0</v>
      </c>
      <c r="J263" s="29">
        <f>J60</f>
        <v>0</v>
      </c>
      <c r="K263" s="29">
        <f>K60</f>
        <v>25</v>
      </c>
      <c r="L263" s="29">
        <f>L60</f>
        <v>0</v>
      </c>
      <c r="M263" s="29">
        <f>M60</f>
        <v>0</v>
      </c>
      <c r="N263" s="29">
        <f>N60</f>
        <v>0</v>
      </c>
      <c r="O263" s="29">
        <f>O60</f>
        <v>0</v>
      </c>
      <c r="P263" s="29">
        <f>P60</f>
        <v>0</v>
      </c>
      <c r="Q263" s="29">
        <f>Q60</f>
        <v>0</v>
      </c>
      <c r="R263" s="29">
        <f>R60</f>
        <v>0</v>
      </c>
      <c r="S263" s="29">
        <f>S60</f>
        <v>0</v>
      </c>
      <c r="T263" s="29">
        <f>T60</f>
        <v>0</v>
      </c>
      <c r="U263" s="29">
        <f>U60</f>
        <v>0</v>
      </c>
      <c r="V263" s="29">
        <f>V60</f>
        <v>0</v>
      </c>
      <c r="W263" s="29">
        <f>W60</f>
        <v>0</v>
      </c>
      <c r="X263" s="29">
        <f>X60</f>
        <v>0</v>
      </c>
      <c r="Y263" s="29">
        <f>Y60</f>
        <v>0</v>
      </c>
      <c r="Z263" s="29">
        <f>Z60</f>
        <v>0</v>
      </c>
      <c r="AA263" s="29">
        <f>AA60</f>
        <v>0</v>
      </c>
    </row>
    <row r="264" ht="15" customHeight="1">
      <c r="A264" s="28" t="inlineStr">
        <is>
          <t>Total Taxes Recorded in Operating Expenses</t>
        </is>
      </c>
      <c r="C264" s="22">
        <f>C43+C60</f>
        <v>548.24000000000001</v>
      </c>
      <c r="D264" s="22">
        <f>D43+D60</f>
        <v>490.87</v>
      </c>
      <c r="E264" s="22">
        <f>E43+E60</f>
        <v>433.5</v>
      </c>
      <c r="F264" s="22">
        <f>F43+F60</f>
        <v>433.5</v>
      </c>
      <c r="G264" s="22">
        <f>G43+G60</f>
        <v>433.5</v>
      </c>
      <c r="H264" s="22">
        <f>H43+H60</f>
        <v>433.5</v>
      </c>
      <c r="I264" s="22">
        <f>I43+I60</f>
        <v>433.5</v>
      </c>
      <c r="J264" s="22">
        <f>J43+J60</f>
        <v>580.82000000000005</v>
      </c>
      <c r="K264" s="22">
        <f>K43+K60</f>
        <v>605.04999999999995</v>
      </c>
      <c r="L264" s="22">
        <f>L43+L60</f>
        <v>525.53999999999996</v>
      </c>
      <c r="M264" s="22">
        <f>M43+M60</f>
        <v>479.70999999999998</v>
      </c>
      <c r="N264" s="22">
        <f>N43+N60</f>
        <v>445.37</v>
      </c>
      <c r="O264" s="22">
        <f>O43+O60</f>
        <v>433.5</v>
      </c>
      <c r="P264" s="22">
        <f>P43+P60</f>
        <v>433.5</v>
      </c>
      <c r="Q264" s="22">
        <f>Q43+Q60</f>
        <v>433.5</v>
      </c>
      <c r="R264" s="22">
        <f>R43+R60</f>
        <v>433.5</v>
      </c>
      <c r="S264" s="22">
        <f>S43+S60</f>
        <v>433.5</v>
      </c>
      <c r="T264" s="22">
        <f>T43+T60</f>
        <v>816</v>
      </c>
      <c r="U264" s="22">
        <f>U43+U60</f>
        <v>816</v>
      </c>
      <c r="V264" s="22">
        <f>V43+V60</f>
        <v>727.91999999999996</v>
      </c>
      <c r="W264" s="22">
        <f>W43+W60</f>
        <v>689.91999999999996</v>
      </c>
      <c r="X264" s="22">
        <f>X43+X60</f>
        <v>597.91999999999996</v>
      </c>
      <c r="Y264" s="22">
        <f>Y43+Y60</f>
        <v>545.97000000000003</v>
      </c>
      <c r="Z264" s="22">
        <f>Z43+Z60</f>
        <v>553.66999999999996</v>
      </c>
      <c r="AA264" s="22">
        <f>AA43+AA60</f>
        <v>543.27999999999997</v>
      </c>
    </row>
    <row r="265" ht="15" customHeight="1">
      <c r="A265" s="27" t="inlineStr">
        <is>
          <t>Ohio Dept. of Taxation Payable — Closing Balance</t>
        </is>
      </c>
      <c r="C265" s="29">
        <f>C114</f>
        <v>0</v>
      </c>
      <c r="D265" s="29">
        <f>D114</f>
        <v>0</v>
      </c>
      <c r="E265" s="29">
        <f>E114</f>
        <v>0</v>
      </c>
      <c r="F265" s="29">
        <f>F114</f>
        <v>0</v>
      </c>
      <c r="G265" s="29">
        <f>G114</f>
        <v>0</v>
      </c>
      <c r="H265" s="29">
        <f>H114</f>
        <v>0</v>
      </c>
      <c r="I265" s="29">
        <f>I114</f>
        <v>0</v>
      </c>
      <c r="J265" s="29">
        <f>J114</f>
        <v>0</v>
      </c>
      <c r="K265" s="29">
        <f>K114</f>
        <v>0</v>
      </c>
      <c r="L265" s="29">
        <f>L114</f>
        <v>0</v>
      </c>
      <c r="M265" s="29">
        <f>M114</f>
        <v>0</v>
      </c>
      <c r="N265" s="29">
        <f>N114</f>
        <v>0</v>
      </c>
      <c r="O265" s="29">
        <f>O114</f>
        <v>0</v>
      </c>
      <c r="P265" s="29">
        <f>P114</f>
        <v>0</v>
      </c>
      <c r="Q265" s="29">
        <f>Q114</f>
        <v>0</v>
      </c>
      <c r="R265" s="29">
        <f>R114</f>
        <v>0</v>
      </c>
      <c r="S265" s="29">
        <f>S114</f>
        <v>0</v>
      </c>
      <c r="T265" s="29">
        <f>T114</f>
        <v>0</v>
      </c>
      <c r="U265" s="29">
        <f>U114</f>
        <v>0</v>
      </c>
      <c r="V265" s="29">
        <f>V114</f>
        <v>0</v>
      </c>
      <c r="W265" s="29">
        <f>W114</f>
        <v>0</v>
      </c>
      <c r="X265" s="29">
        <f>X114</f>
        <v>0</v>
      </c>
      <c r="Y265" s="29">
        <f>Y114</f>
        <v>0</v>
      </c>
      <c r="Z265" s="29">
        <f>Z114</f>
        <v>0</v>
      </c>
      <c r="AA265" s="29">
        <f>AA114</f>
        <v>0</v>
      </c>
    </row>
    <row r="266" ht="15" customHeight="1">
      <c r="A266" s="27" t="inlineStr">
        <is>
          <t>Income Tax Expense (entity level)</t>
        </is>
      </c>
      <c r="C266" s="29">
        <f>0</f>
        <v>0</v>
      </c>
      <c r="D266" s="29">
        <f>0</f>
        <v>0</v>
      </c>
      <c r="E266" s="29">
        <f>0</f>
        <v>0</v>
      </c>
      <c r="F266" s="29">
        <f>0</f>
        <v>0</v>
      </c>
      <c r="G266" s="29">
        <f>0</f>
        <v>0</v>
      </c>
      <c r="H266" s="29">
        <f>0</f>
        <v>0</v>
      </c>
      <c r="I266" s="29">
        <f>0</f>
        <v>0</v>
      </c>
      <c r="J266" s="29">
        <f>0</f>
        <v>0</v>
      </c>
      <c r="K266" s="29">
        <f>0</f>
        <v>0</v>
      </c>
      <c r="L266" s="29">
        <f>0</f>
        <v>0</v>
      </c>
      <c r="M266" s="29">
        <f>0</f>
        <v>0</v>
      </c>
      <c r="N266" s="29">
        <f>0</f>
        <v>0</v>
      </c>
      <c r="O266" s="29">
        <f>0</f>
        <v>0</v>
      </c>
      <c r="P266" s="29">
        <f>0</f>
        <v>0</v>
      </c>
      <c r="Q266" s="29">
        <f>0</f>
        <v>0</v>
      </c>
      <c r="R266" s="29">
        <f>0</f>
        <v>0</v>
      </c>
      <c r="S266" s="29">
        <f>0</f>
        <v>0</v>
      </c>
      <c r="T266" s="29">
        <f>0</f>
        <v>0</v>
      </c>
      <c r="U266" s="29">
        <f>0</f>
        <v>0</v>
      </c>
      <c r="V266" s="29">
        <f>0</f>
        <v>0</v>
      </c>
      <c r="W266" s="29">
        <f>0</f>
        <v>0</v>
      </c>
      <c r="X266" s="29">
        <f>0</f>
        <v>0</v>
      </c>
      <c r="Y266" s="29">
        <f>0</f>
        <v>0</v>
      </c>
      <c r="Z266" s="29">
        <f>0</f>
        <v>0</v>
      </c>
      <c r="AA266" s="29">
        <f>0</f>
        <v>0</v>
      </c>
    </row>
    <row r="267" ht="15" customHeight="1">
      <c r="A267" s="19" t="inlineStr">
        <is>
          <t>Total Taxes % of Net Revenue</t>
        </is>
      </c>
      <c r="C267" s="33">
        <f>IFERROR(C264/C15,0)</f>
        <v>0.008367580114268202</v>
      </c>
      <c r="D267" s="33">
        <f>IFERROR(D264/D15,0)</f>
        <v>0.0062485464463150351</v>
      </c>
      <c r="E267" s="33">
        <f>IFERROR(E264/E15,0)</f>
        <v>0.0062423590501246313</v>
      </c>
      <c r="F267" s="33">
        <f>IFERROR(F264/F15,0)</f>
        <v>0.0062445693134229284</v>
      </c>
      <c r="G267" s="33">
        <f>IFERROR(G264/G15,0)</f>
        <v>0.0058107847629025556</v>
      </c>
      <c r="H267" s="33">
        <f>IFERROR(H264/H15,0)</f>
        <v>0.0062325155295309088</v>
      </c>
      <c r="I267" s="33">
        <f>IFERROR(I264/I15,0)</f>
        <v>0.006346780162029564</v>
      </c>
      <c r="J267" s="33">
        <f>IFERROR(J264/J15,0)</f>
        <v>0.0088559316994539349</v>
      </c>
      <c r="K267" s="33">
        <f>IFERROR(K264/K15,0)</f>
        <v>0.010002072985624983</v>
      </c>
      <c r="L267" s="33">
        <f>IFERROR(L264/L15,0)</f>
        <v>0.007679367905344783</v>
      </c>
      <c r="M267" s="33">
        <f>IFERROR(M264/M15,0)</f>
        <v>0.006387549318722212</v>
      </c>
      <c r="N267" s="33">
        <f>IFERROR(N264/N15,0)</f>
        <v>0.0054927185744214216</v>
      </c>
      <c r="O267" s="33">
        <f>IFERROR(O264/O15,0)</f>
        <v>0.0078838020330934174</v>
      </c>
      <c r="P267" s="33">
        <f>IFERROR(P264/P15,0)</f>
        <v>0.0045678117737008054</v>
      </c>
      <c r="Q267" s="33">
        <f>IFERROR(Q264/Q15,0)</f>
        <v>0.0069274210817323826</v>
      </c>
      <c r="R267" s="33">
        <f>IFERROR(R264/R15,0)</f>
        <v>0.0055769054619967664</v>
      </c>
      <c r="S267" s="33">
        <f>IFERROR(S264/S15,0)</f>
        <v>0.0045712157451440194</v>
      </c>
      <c r="T267" s="33">
        <f>IFERROR(T264/T15,0)</f>
        <v>0.010107045502513385</v>
      </c>
      <c r="U267" s="33">
        <f>IFERROR(U264/U15,0)</f>
        <v>0.010277290362168689</v>
      </c>
      <c r="V267" s="33">
        <f>IFERROR(V264/V15,0)</f>
        <v>0.0079210722044818823</v>
      </c>
      <c r="W267" s="33">
        <f>IFERROR(W264/W15,0)</f>
        <v>0.010836134563330099</v>
      </c>
      <c r="X267" s="33">
        <f>IFERROR(X264/X15,0)</f>
        <v>0.0089424564176392735</v>
      </c>
      <c r="Y267" s="33">
        <f>IFERROR(Y264/Y15,0)</f>
        <v>0.0061192354839219466</v>
      </c>
      <c r="Z267" s="33">
        <f>IFERROR(Z264/Z15,0)</f>
        <v>0.007217007773596051</v>
      </c>
      <c r="AA267" s="33">
        <f>IFERROR(AA264/AA15,0)</f>
        <v>0.008471909432531146</v>
      </c>
    </row>
    <row r="269" ht="15" customHeight="1">
      <c r="A269" s="2" t="inlineStr">
        <is>
          <t>Schedule 7 — Current Assets, Working Capital (MoM) &amp; DSO</t>
        </is>
      </c>
    </row>
    <row r="270" ht="21.75" customHeight="1">
      <c r="B270" s="17" t="inlineStr">
        <is>
          <t>TB 5/31/24</t>
        </is>
      </c>
      <c r="C270" s="18" t="inlineStr">
        <is>
          <t>Jun-24</t>
        </is>
      </c>
      <c r="D270" s="18" t="inlineStr">
        <is>
          <t>Jul-24</t>
        </is>
      </c>
      <c r="E270" s="18" t="inlineStr">
        <is>
          <t>Aug-24</t>
        </is>
      </c>
      <c r="F270" s="18" t="inlineStr">
        <is>
          <t>Sep-24</t>
        </is>
      </c>
      <c r="G270" s="18" t="inlineStr">
        <is>
          <t>Oct-24</t>
        </is>
      </c>
      <c r="H270" s="18" t="inlineStr">
        <is>
          <t>Nov-24</t>
        </is>
      </c>
      <c r="I270" s="18" t="inlineStr">
        <is>
          <t>Dec-24</t>
        </is>
      </c>
      <c r="J270" s="18" t="inlineStr">
        <is>
          <t>Jan-25</t>
        </is>
      </c>
      <c r="K270" s="18" t="inlineStr">
        <is>
          <t>Feb-25</t>
        </is>
      </c>
      <c r="L270" s="18" t="inlineStr">
        <is>
          <t>Mar-25</t>
        </is>
      </c>
      <c r="M270" s="18" t="inlineStr">
        <is>
          <t>Apr-25</t>
        </is>
      </c>
      <c r="N270" s="18" t="inlineStr">
        <is>
          <t>May-25</t>
        </is>
      </c>
      <c r="O270" s="18" t="inlineStr">
        <is>
          <t>Jun-25</t>
        </is>
      </c>
      <c r="P270" s="18" t="inlineStr">
        <is>
          <t>Jul-25</t>
        </is>
      </c>
      <c r="Q270" s="18" t="inlineStr">
        <is>
          <t>Aug-25</t>
        </is>
      </c>
      <c r="R270" s="18" t="inlineStr">
        <is>
          <t>Sep-25</t>
        </is>
      </c>
      <c r="S270" s="18" t="inlineStr">
        <is>
          <t>Oct-25</t>
        </is>
      </c>
      <c r="T270" s="18" t="inlineStr">
        <is>
          <t>Nov-25</t>
        </is>
      </c>
      <c r="U270" s="18" t="inlineStr">
        <is>
          <t>Dec-25</t>
        </is>
      </c>
      <c r="V270" s="18" t="inlineStr">
        <is>
          <t>Jan-26</t>
        </is>
      </c>
      <c r="W270" s="18" t="inlineStr">
        <is>
          <t>Feb-26</t>
        </is>
      </c>
      <c r="X270" s="18" t="inlineStr">
        <is>
          <t>Mar-26</t>
        </is>
      </c>
      <c r="Y270" s="18" t="inlineStr">
        <is>
          <t>Apr-26</t>
        </is>
      </c>
      <c r="Z270" s="18" t="inlineStr">
        <is>
          <t>May-26</t>
        </is>
      </c>
      <c r="AA270" s="18" t="inlineStr">
        <is>
          <t>Jun-26</t>
        </is>
      </c>
    </row>
    <row r="271" ht="15" customHeight="1">
      <c r="A271" s="27" t="inlineStr">
        <is>
          <t>Smart VAs AMEX Checking</t>
        </is>
      </c>
      <c r="B271" s="29">
        <f>B88</f>
        <v>114.5</v>
      </c>
      <c r="C271" s="29">
        <f>C88</f>
        <v>114.62</v>
      </c>
      <c r="D271" s="29">
        <f>D88</f>
        <v>114.74000000000001</v>
      </c>
      <c r="E271" s="29">
        <f>E88</f>
        <v>114.86000000000001</v>
      </c>
      <c r="F271" s="29">
        <f>F88</f>
        <v>114.98000000000002</v>
      </c>
      <c r="G271" s="29">
        <f>G88</f>
        <v>40137.010000000002</v>
      </c>
      <c r="H271" s="29">
        <f>H88</f>
        <v>31791.940000000002</v>
      </c>
      <c r="I271" s="29">
        <f>I88</f>
        <v>18681.290000000001</v>
      </c>
      <c r="J271" s="29">
        <f>J88</f>
        <v>23435.920000000002</v>
      </c>
      <c r="K271" s="29">
        <f>K88</f>
        <v>19360.720000000001</v>
      </c>
      <c r="L271" s="29">
        <f>L88</f>
        <v>29554.670000000002</v>
      </c>
      <c r="M271" s="29">
        <f>M88</f>
        <v>35451.090000000004</v>
      </c>
      <c r="N271" s="29">
        <f>N88</f>
        <v>52681.400000000009</v>
      </c>
      <c r="O271" s="29">
        <f>O88</f>
        <v>38830.070000000007</v>
      </c>
      <c r="P271" s="29">
        <f>P88</f>
        <v>63924.190000000002</v>
      </c>
      <c r="Q271" s="29">
        <f>Q88</f>
        <v>44829.490000000005</v>
      </c>
      <c r="R271" s="29">
        <f>R88</f>
        <v>53999.500000000007</v>
      </c>
      <c r="S271" s="29">
        <f>S88</f>
        <v>72739.610000000015</v>
      </c>
      <c r="T271" s="29">
        <f>T88</f>
        <v>72588.900000000009</v>
      </c>
      <c r="U271" s="29">
        <f>U88</f>
        <v>61335.80000000001</v>
      </c>
      <c r="V271" s="29">
        <f>V88</f>
        <v>82533.330000000016</v>
      </c>
      <c r="W271" s="29">
        <f>W88</f>
        <v>73427.050000000017</v>
      </c>
      <c r="X271" s="29">
        <f>X88</f>
        <v>69359.560000000012</v>
      </c>
      <c r="Y271" s="29">
        <f>Y88</f>
        <v>87470.520000000019</v>
      </c>
      <c r="Z271" s="29">
        <f>Z88</f>
        <v>92436.020000000019</v>
      </c>
      <c r="AA271" s="29">
        <f>AA88</f>
        <v>87171.60000000002</v>
      </c>
    </row>
    <row r="272" ht="15" customHeight="1">
      <c r="A272" s="27" t="inlineStr">
        <is>
          <t>SMARTVAS Checking</t>
        </is>
      </c>
      <c r="B272" s="29">
        <f>B89</f>
        <v>28165.66</v>
      </c>
      <c r="C272" s="29">
        <f>C89</f>
        <v>23170.619999999999</v>
      </c>
      <c r="D272" s="29">
        <f>D89</f>
        <v>21918.75</v>
      </c>
      <c r="E272" s="29">
        <f>E89</f>
        <v>22853.389999999999</v>
      </c>
      <c r="F272" s="29">
        <f>F89</f>
        <v>19881.970000000001</v>
      </c>
      <c r="G272" s="29">
        <f>G89</f>
        <v>182.96000000000276</v>
      </c>
      <c r="H272" s="29">
        <f>H89</f>
        <v>144.96000000000276</v>
      </c>
      <c r="I272" s="29">
        <f>I89</f>
        <v>2.7569058147491887e-12</v>
      </c>
      <c r="J272" s="29">
        <f>J89</f>
        <v>2.7569058147491887e-12</v>
      </c>
      <c r="K272" s="29">
        <f>K89</f>
        <v>2.7569058147491887e-12</v>
      </c>
      <c r="L272" s="29">
        <f>L89</f>
        <v>2.7569058147491887e-12</v>
      </c>
      <c r="M272" s="29">
        <f>M89</f>
        <v>2.7569058147491887e-12</v>
      </c>
      <c r="N272" s="29">
        <f>N89</f>
        <v>2.7569058147491887e-12</v>
      </c>
      <c r="O272" s="29">
        <f>O89</f>
        <v>2.7569058147491887e-12</v>
      </c>
      <c r="P272" s="29">
        <f>P89</f>
        <v>2.7569058147491887e-12</v>
      </c>
      <c r="Q272" s="29">
        <f>Q89</f>
        <v>2.7569058147491887e-12</v>
      </c>
      <c r="R272" s="29">
        <f>R89</f>
        <v>2.7569058147491887e-12</v>
      </c>
      <c r="S272" s="29">
        <f>S89</f>
        <v>2.7569058147491887e-12</v>
      </c>
      <c r="T272" s="29">
        <f>T89</f>
        <v>2.7569058147491887e-12</v>
      </c>
      <c r="U272" s="29">
        <f>U89</f>
        <v>2.7569058147491887e-12</v>
      </c>
      <c r="V272" s="29">
        <f>V89</f>
        <v>2.7569058147491887e-12</v>
      </c>
      <c r="W272" s="29">
        <f>W89</f>
        <v>2.7569058147491887e-12</v>
      </c>
      <c r="X272" s="29">
        <f>X89</f>
        <v>2.7569058147491887e-12</v>
      </c>
      <c r="Y272" s="29">
        <f>Y89</f>
        <v>2.7569058147491887e-12</v>
      </c>
      <c r="Z272" s="29">
        <f>Z89</f>
        <v>2.7569058147491887e-12</v>
      </c>
      <c r="AA272" s="29">
        <f>AA89</f>
        <v>2.7569058147491887e-12</v>
      </c>
    </row>
    <row r="273" ht="15" customHeight="1">
      <c r="A273" s="27" t="inlineStr">
        <is>
          <t>Unionbank</t>
        </is>
      </c>
      <c r="B273" s="29">
        <f>B90</f>
        <v>79.670000000000002</v>
      </c>
      <c r="C273" s="29">
        <f>C90</f>
        <v>79.670000000000002</v>
      </c>
      <c r="D273" s="29">
        <f>D90</f>
        <v>79.670000000000002</v>
      </c>
      <c r="E273" s="29">
        <f>E90</f>
        <v>79.670000000000002</v>
      </c>
      <c r="F273" s="29">
        <f>F90</f>
        <v>79.670000000000002</v>
      </c>
      <c r="G273" s="29">
        <f>G90</f>
        <v>79.670000000000002</v>
      </c>
      <c r="H273" s="29">
        <f>H90</f>
        <v>79.670000000000002</v>
      </c>
      <c r="I273" s="29">
        <f>I90</f>
        <v>79.670000000000002</v>
      </c>
      <c r="J273" s="29">
        <f>J90</f>
        <v>79.670000000000002</v>
      </c>
      <c r="K273" s="29">
        <f>K90</f>
        <v>79.670000000000002</v>
      </c>
      <c r="L273" s="29">
        <f>L90</f>
        <v>0</v>
      </c>
      <c r="M273" s="29">
        <f>M90</f>
        <v>0</v>
      </c>
      <c r="N273" s="29">
        <f>N90</f>
        <v>0</v>
      </c>
      <c r="O273" s="29">
        <f>O90</f>
        <v>0</v>
      </c>
      <c r="P273" s="29">
        <f>P90</f>
        <v>0</v>
      </c>
      <c r="Q273" s="29">
        <f>Q90</f>
        <v>0</v>
      </c>
      <c r="R273" s="29">
        <f>R90</f>
        <v>0</v>
      </c>
      <c r="S273" s="29">
        <f>S90</f>
        <v>0</v>
      </c>
      <c r="T273" s="29">
        <f>T90</f>
        <v>0</v>
      </c>
      <c r="U273" s="29">
        <f>U90</f>
        <v>0</v>
      </c>
      <c r="V273" s="29">
        <f>V90</f>
        <v>0</v>
      </c>
      <c r="W273" s="29">
        <f>W90</f>
        <v>0</v>
      </c>
      <c r="X273" s="29">
        <f>X90</f>
        <v>0</v>
      </c>
      <c r="Y273" s="29">
        <f>Y90</f>
        <v>0</v>
      </c>
      <c r="Z273" s="29">
        <f>Z90</f>
        <v>0</v>
      </c>
      <c r="AA273" s="29">
        <f>AA90</f>
        <v>0</v>
      </c>
    </row>
    <row r="274" ht="15" customHeight="1">
      <c r="A274" s="27" t="inlineStr">
        <is>
          <t>Wise Fund</t>
        </is>
      </c>
      <c r="B274" s="29">
        <f>B91</f>
        <v>9.8300000000000001</v>
      </c>
      <c r="C274" s="29">
        <f>C91</f>
        <v>6.2000000000000002</v>
      </c>
      <c r="D274" s="29">
        <f>D91</f>
        <v>6.2000000000000002</v>
      </c>
      <c r="E274" s="29">
        <f>E91</f>
        <v>2.5500000000000003</v>
      </c>
      <c r="F274" s="29">
        <f>F91</f>
        <v>2.5500000000000003</v>
      </c>
      <c r="G274" s="29">
        <f>G91</f>
        <v>2.5500000000000003</v>
      </c>
      <c r="H274" s="29">
        <f>H91</f>
        <v>2.5500000000000003</v>
      </c>
      <c r="I274" s="29">
        <f>I91</f>
        <v>2.5500000000000003</v>
      </c>
      <c r="J274" s="29">
        <f>J91</f>
        <v>2.5500000000000003</v>
      </c>
      <c r="K274" s="29">
        <f>K91</f>
        <v>2.5500000000000003</v>
      </c>
      <c r="L274" s="29">
        <f>L91</f>
        <v>2.5500000000000003</v>
      </c>
      <c r="M274" s="29">
        <f>M91</f>
        <v>2.5500000000000003</v>
      </c>
      <c r="N274" s="29">
        <f>N91</f>
        <v>2.5500000000000003</v>
      </c>
      <c r="O274" s="29">
        <f>O91</f>
        <v>2.5500000000000003</v>
      </c>
      <c r="P274" s="29">
        <f>P91</f>
        <v>2.5500000000000003</v>
      </c>
      <c r="Q274" s="29">
        <f>Q91</f>
        <v>2.5500000000000003</v>
      </c>
      <c r="R274" s="29">
        <f>R91</f>
        <v>2.5500000000000003</v>
      </c>
      <c r="S274" s="29">
        <f>S91</f>
        <v>2.5500000000000003</v>
      </c>
      <c r="T274" s="29">
        <f>T91</f>
        <v>2.5500000000000003</v>
      </c>
      <c r="U274" s="29">
        <f>U91</f>
        <v>2.5500000000000003</v>
      </c>
      <c r="V274" s="29">
        <f>V91</f>
        <v>2.5500000000000003</v>
      </c>
      <c r="W274" s="29">
        <f>W91</f>
        <v>2.5500000000000003</v>
      </c>
      <c r="X274" s="29">
        <f>X91</f>
        <v>2.5500000000000003</v>
      </c>
      <c r="Y274" s="29">
        <f>Y91</f>
        <v>2.5500000000000003</v>
      </c>
      <c r="Z274" s="29">
        <f>Z91</f>
        <v>2.5500000000000003</v>
      </c>
      <c r="AA274" s="29">
        <f>AA91</f>
        <v>2.5500000000000003</v>
      </c>
    </row>
    <row r="275" ht="15" customHeight="1">
      <c r="A275" s="28" t="inlineStr">
        <is>
          <t>Total Cash</t>
        </is>
      </c>
      <c r="B275" s="22">
        <f>SUM(B271:B274)</f>
        <v>28369.66</v>
      </c>
      <c r="C275" s="22">
        <f>SUM(C271:C274)</f>
        <v>23371.109999999997</v>
      </c>
      <c r="D275" s="22">
        <f>SUM(D271:D274)</f>
        <v>22119.360000000001</v>
      </c>
      <c r="E275" s="22">
        <f>SUM(E271:E274)</f>
        <v>23050.469999999998</v>
      </c>
      <c r="F275" s="22">
        <f>SUM(F271:F274)</f>
        <v>20079.169999999998</v>
      </c>
      <c r="G275" s="22">
        <f>SUM(G271:G274)</f>
        <v>40402.190000000002</v>
      </c>
      <c r="H275" s="22">
        <f>SUM(H271:H274)</f>
        <v>32019.120000000003</v>
      </c>
      <c r="I275" s="22">
        <f>SUM(I271:I274)</f>
        <v>18763.510000000002</v>
      </c>
      <c r="J275" s="22">
        <f>SUM(J271:J274)</f>
        <v>23518.140000000003</v>
      </c>
      <c r="K275" s="22">
        <f>SUM(K271:K274)</f>
        <v>19442.940000000002</v>
      </c>
      <c r="L275" s="22">
        <f>SUM(L271:L274)</f>
        <v>29557.220000000005</v>
      </c>
      <c r="M275" s="22">
        <f>SUM(M271:M274)</f>
        <v>35453.640000000007</v>
      </c>
      <c r="N275" s="22">
        <f>SUM(N271:N274)</f>
        <v>52683.950000000012</v>
      </c>
      <c r="O275" s="22">
        <f>SUM(O271:O274)</f>
        <v>38832.62000000001</v>
      </c>
      <c r="P275" s="22">
        <f>SUM(P271:P274)</f>
        <v>63926.740000000005</v>
      </c>
      <c r="Q275" s="22">
        <f>SUM(Q271:Q274)</f>
        <v>44832.040000000008</v>
      </c>
      <c r="R275" s="22">
        <f>SUM(R271:R274)</f>
        <v>54002.05000000001</v>
      </c>
      <c r="S275" s="22">
        <f>SUM(S271:S274)</f>
        <v>72742.160000000018</v>
      </c>
      <c r="T275" s="22">
        <f>SUM(T271:T274)</f>
        <v>72591.450000000012</v>
      </c>
      <c r="U275" s="22">
        <f>SUM(U271:U274)</f>
        <v>61338.350000000013</v>
      </c>
      <c r="V275" s="22">
        <f>SUM(V271:V274)</f>
        <v>82535.880000000019</v>
      </c>
      <c r="W275" s="22">
        <f>SUM(W271:W274)</f>
        <v>73429.60000000002</v>
      </c>
      <c r="X275" s="22">
        <f>SUM(X271:X274)</f>
        <v>69362.110000000015</v>
      </c>
      <c r="Y275" s="22">
        <f>SUM(Y271:Y274)</f>
        <v>87473.070000000022</v>
      </c>
      <c r="Z275" s="22">
        <f>SUM(Z271:Z274)</f>
        <v>92438.570000000022</v>
      </c>
      <c r="AA275" s="22">
        <f>SUM(AA271:AA274)</f>
        <v>87174.150000000023</v>
      </c>
    </row>
    <row r="276" ht="15" customHeight="1">
      <c r="A276" s="27" t="inlineStr">
        <is>
          <t>Accounts Receivable</t>
        </is>
      </c>
      <c r="B276" s="29">
        <f>B92</f>
        <v>532.64999999999998</v>
      </c>
      <c r="C276" s="29">
        <f>C92</f>
        <v>532.64999999999793</v>
      </c>
      <c r="D276" s="29">
        <f>D92</f>
        <v>532.64999999999418</v>
      </c>
      <c r="E276" s="29">
        <f>E92</f>
        <v>1248.1099999999856</v>
      </c>
      <c r="F276" s="29">
        <f>F92</f>
        <v>2149.2499999999977</v>
      </c>
      <c r="G276" s="29">
        <f>G92</f>
        <v>3016.9300000000053</v>
      </c>
      <c r="H276" s="29">
        <f>H92</f>
        <v>3872.3300000000022</v>
      </c>
      <c r="I276" s="29">
        <f>I92</f>
        <v>656.249999999995</v>
      </c>
      <c r="J276" s="29">
        <f>J92</f>
        <v>1686.6699999999914</v>
      </c>
      <c r="K276" s="29">
        <f>K92</f>
        <v>3674.8100000000031</v>
      </c>
      <c r="L276" s="29">
        <f>L92</f>
        <v>1542.5400000000109</v>
      </c>
      <c r="M276" s="29">
        <f>M92</f>
        <v>656.25000000001216</v>
      </c>
      <c r="N276" s="29">
        <f>N92</f>
        <v>656.25000000002672</v>
      </c>
      <c r="O276" s="29">
        <f>O92</f>
        <v>656.25000000002126</v>
      </c>
      <c r="P276" s="29">
        <f>P92</f>
        <v>2271.0700000000284</v>
      </c>
      <c r="Q276" s="29">
        <f>Q92</f>
        <v>2555.4700000000307</v>
      </c>
      <c r="R276" s="29">
        <f>R92</f>
        <v>2271.0700000000375</v>
      </c>
      <c r="S276" s="29">
        <f>S92</f>
        <v>2271.0700000000375</v>
      </c>
      <c r="T276" s="29">
        <f>T92</f>
        <v>-6578.7899999999627</v>
      </c>
      <c r="U276" s="29">
        <f>U92</f>
        <v>-2768.9499999999662</v>
      </c>
      <c r="V276" s="29">
        <f>V92</f>
        <v>656.25000000004547</v>
      </c>
      <c r="W276" s="29">
        <f>W92</f>
        <v>656.25000000005457</v>
      </c>
      <c r="X276" s="29">
        <f>X92</f>
        <v>656.25000000006457</v>
      </c>
      <c r="Y276" s="29">
        <f>Y92</f>
        <v>656.25000000005002</v>
      </c>
      <c r="Z276" s="29">
        <f>Z92</f>
        <v>656.25000000004457</v>
      </c>
      <c r="AA276" s="29">
        <f>AA92</f>
        <v>656.25000000004093</v>
      </c>
    </row>
    <row r="277" ht="15" customHeight="1">
      <c r="A277" s="27" t="inlineStr">
        <is>
          <t>Other Receivables</t>
        </is>
      </c>
      <c r="B277" s="29">
        <f>B93</f>
        <v>0</v>
      </c>
      <c r="C277" s="29">
        <f>C93</f>
        <v>0</v>
      </c>
      <c r="D277" s="29">
        <f>D93</f>
        <v>3917.3299999999999</v>
      </c>
      <c r="E277" s="29">
        <f>E93</f>
        <v>0</v>
      </c>
      <c r="F277" s="29">
        <f>F93</f>
        <v>0</v>
      </c>
      <c r="G277" s="29">
        <f>G93</f>
        <v>0</v>
      </c>
      <c r="H277" s="29">
        <f>H93</f>
        <v>987.54999999999995</v>
      </c>
      <c r="I277" s="29">
        <f>I93</f>
        <v>0</v>
      </c>
      <c r="J277" s="29">
        <f>J93</f>
        <v>0</v>
      </c>
      <c r="K277" s="29">
        <f>K93</f>
        <v>0</v>
      </c>
      <c r="L277" s="29">
        <f>L93</f>
        <v>0</v>
      </c>
      <c r="M277" s="29">
        <f>M93</f>
        <v>0</v>
      </c>
      <c r="N277" s="29">
        <f>N93</f>
        <v>0</v>
      </c>
      <c r="O277" s="29">
        <f>O93</f>
        <v>0</v>
      </c>
      <c r="P277" s="29">
        <f>P93</f>
        <v>0</v>
      </c>
      <c r="Q277" s="29">
        <f>Q93</f>
        <v>0</v>
      </c>
      <c r="R277" s="29">
        <f>R93</f>
        <v>0</v>
      </c>
      <c r="S277" s="29">
        <f>S93</f>
        <v>0</v>
      </c>
      <c r="T277" s="29">
        <f>T93</f>
        <v>0</v>
      </c>
      <c r="U277" s="29">
        <f>U93</f>
        <v>0</v>
      </c>
      <c r="V277" s="29">
        <f>V93</f>
        <v>0</v>
      </c>
      <c r="W277" s="29">
        <f>W93</f>
        <v>0</v>
      </c>
      <c r="X277" s="29">
        <f>X93</f>
        <v>0</v>
      </c>
      <c r="Y277" s="29">
        <f>Y93</f>
        <v>0</v>
      </c>
      <c r="Z277" s="29">
        <f>Z93</f>
        <v>0</v>
      </c>
      <c r="AA277" s="29">
        <f>AA93</f>
        <v>0</v>
      </c>
    </row>
    <row r="278" ht="15" customHeight="1">
      <c r="A278" s="27" t="inlineStr">
        <is>
          <t>Advances subject to Liquidation</t>
        </is>
      </c>
      <c r="B278" s="29">
        <f>B94</f>
        <v>302.45999999999998</v>
      </c>
      <c r="C278" s="29">
        <f>C94</f>
        <v>347.00999999999999</v>
      </c>
      <c r="D278" s="29">
        <f>D94</f>
        <v>445.11000000000001</v>
      </c>
      <c r="E278" s="29">
        <f>E94</f>
        <v>471.25</v>
      </c>
      <c r="F278" s="29">
        <f>F94</f>
        <v>247.49000000000001</v>
      </c>
      <c r="G278" s="29">
        <f>G94</f>
        <v>231.33000000000001</v>
      </c>
      <c r="H278" s="29">
        <f>H94</f>
        <v>269.79000000000002</v>
      </c>
      <c r="I278" s="29">
        <f>I94</f>
        <v>603.75999999999999</v>
      </c>
      <c r="J278" s="29">
        <f>J94</f>
        <v>336.90999999999997</v>
      </c>
      <c r="K278" s="29">
        <f>K94</f>
        <v>160.78999999999996</v>
      </c>
      <c r="L278" s="29">
        <f>L94</f>
        <v>-104.95000000000005</v>
      </c>
      <c r="M278" s="29">
        <f>M94</f>
        <v>140.65999999999997</v>
      </c>
      <c r="N278" s="29">
        <f>N94</f>
        <v>117.81999999999996</v>
      </c>
      <c r="O278" s="29">
        <f>O94</f>
        <v>117.81999999999996</v>
      </c>
      <c r="P278" s="29">
        <f>P94</f>
        <v>117.81999999999996</v>
      </c>
      <c r="Q278" s="29">
        <f>Q94</f>
        <v>41.209999999999965</v>
      </c>
      <c r="R278" s="29">
        <f>R94</f>
        <v>0</v>
      </c>
      <c r="S278" s="29">
        <f>S94</f>
        <v>0</v>
      </c>
      <c r="T278" s="29">
        <f>T94</f>
        <v>0</v>
      </c>
      <c r="U278" s="29">
        <f>U94</f>
        <v>0</v>
      </c>
      <c r="V278" s="29">
        <f>V94</f>
        <v>0</v>
      </c>
      <c r="W278" s="29">
        <f>W94</f>
        <v>0</v>
      </c>
      <c r="X278" s="29">
        <f>X94</f>
        <v>0</v>
      </c>
      <c r="Y278" s="29">
        <f>Y94</f>
        <v>0</v>
      </c>
      <c r="Z278" s="29">
        <f>Z94</f>
        <v>0</v>
      </c>
      <c r="AA278" s="29">
        <f>AA94</f>
        <v>0</v>
      </c>
    </row>
    <row r="279" ht="15" customHeight="1">
      <c r="A279" s="27" t="inlineStr">
        <is>
          <t>Advances to Contractors</t>
        </is>
      </c>
      <c r="B279" s="29">
        <f>B95</f>
        <v>414.91000000000003</v>
      </c>
      <c r="C279" s="29">
        <f>C95</f>
        <v>191.41000000000003</v>
      </c>
      <c r="D279" s="29">
        <f>D95</f>
        <v>871.87000000000012</v>
      </c>
      <c r="E279" s="29">
        <f>E95</f>
        <v>782.62000000000012</v>
      </c>
      <c r="F279" s="29">
        <f>F95</f>
        <v>1623.27</v>
      </c>
      <c r="G279" s="29">
        <f>G95</f>
        <v>1107.4099999999999</v>
      </c>
      <c r="H279" s="29">
        <f>H95</f>
        <v>1925.6699999999998</v>
      </c>
      <c r="I279" s="29">
        <f>I95</f>
        <v>1483.6399999999999</v>
      </c>
      <c r="J279" s="29">
        <f>J95</f>
        <v>1282.6499999999999</v>
      </c>
      <c r="K279" s="29">
        <f>K95</f>
        <v>1104.9799999999998</v>
      </c>
      <c r="L279" s="29">
        <f>L95</f>
        <v>1105.5299999999997</v>
      </c>
      <c r="M279" s="29">
        <f>M95</f>
        <v>1220.8099999999997</v>
      </c>
      <c r="N279" s="29">
        <f>N95</f>
        <v>1338.7999999999997</v>
      </c>
      <c r="O279" s="29">
        <f>O95</f>
        <v>1105.7799999999997</v>
      </c>
      <c r="P279" s="29">
        <f>P95</f>
        <v>1300.4599999999998</v>
      </c>
      <c r="Q279" s="29">
        <f>Q95</f>
        <v>1790.9799999999998</v>
      </c>
      <c r="R279" s="29">
        <f>R95</f>
        <v>1385.5399999999997</v>
      </c>
      <c r="S279" s="29">
        <f>S95</f>
        <v>1221.3699999999997</v>
      </c>
      <c r="T279" s="29">
        <f>T95</f>
        <v>1422.8499999999997</v>
      </c>
      <c r="U279" s="29">
        <f>U95</f>
        <v>1465.1499999999996</v>
      </c>
      <c r="V279" s="29">
        <f>V95</f>
        <v>1399.5499999999997</v>
      </c>
      <c r="W279" s="29">
        <f>W95</f>
        <v>674.18999999999971</v>
      </c>
      <c r="X279" s="29">
        <f>X95</f>
        <v>377.75999999999971</v>
      </c>
      <c r="Y279" s="29">
        <f>Y95</f>
        <v>188.36999999999972</v>
      </c>
      <c r="Z279" s="29">
        <f>Z95</f>
        <v>105.64999999999972</v>
      </c>
      <c r="AA279" s="29">
        <f>AA95</f>
        <v>-2.8421709430404007e-13</v>
      </c>
    </row>
    <row r="280" ht="15" customHeight="1">
      <c r="A280" s="27" t="inlineStr">
        <is>
          <t>Prepaid Expenses</t>
        </is>
      </c>
      <c r="B280" s="29">
        <f>B96</f>
        <v>331.32999999999998</v>
      </c>
      <c r="C280" s="29">
        <f>C96</f>
        <v>331.32999999999998</v>
      </c>
      <c r="D280" s="29">
        <f>D96</f>
        <v>331.32999999999998</v>
      </c>
      <c r="E280" s="29">
        <f>E96</f>
        <v>331.32999999999998</v>
      </c>
      <c r="F280" s="29">
        <f>F96</f>
        <v>331.32999999999998</v>
      </c>
      <c r="G280" s="29">
        <f>G96</f>
        <v>331.32999999999998</v>
      </c>
      <c r="H280" s="29">
        <f>H96</f>
        <v>331.32999999999998</v>
      </c>
      <c r="I280" s="29">
        <f>I96</f>
        <v>331.32999999999998</v>
      </c>
      <c r="J280" s="29">
        <f>J96</f>
        <v>331.32999999999998</v>
      </c>
      <c r="K280" s="29">
        <f>K96</f>
        <v>0</v>
      </c>
      <c r="L280" s="29">
        <f>L96</f>
        <v>0</v>
      </c>
      <c r="M280" s="29">
        <f>M96</f>
        <v>0</v>
      </c>
      <c r="N280" s="29">
        <f>N96</f>
        <v>0</v>
      </c>
      <c r="O280" s="29">
        <f>O96</f>
        <v>0</v>
      </c>
      <c r="P280" s="29">
        <f>P96</f>
        <v>0</v>
      </c>
      <c r="Q280" s="29">
        <f>Q96</f>
        <v>0</v>
      </c>
      <c r="R280" s="29">
        <f>R96</f>
        <v>0</v>
      </c>
      <c r="S280" s="29">
        <f>S96</f>
        <v>0</v>
      </c>
      <c r="T280" s="29">
        <f>T96</f>
        <v>0</v>
      </c>
      <c r="U280" s="29">
        <f>U96</f>
        <v>0</v>
      </c>
      <c r="V280" s="29">
        <f>V96</f>
        <v>0</v>
      </c>
      <c r="W280" s="29">
        <f>W96</f>
        <v>0</v>
      </c>
      <c r="X280" s="29">
        <f>X96</f>
        <v>0</v>
      </c>
      <c r="Y280" s="29">
        <f>Y96</f>
        <v>0</v>
      </c>
      <c r="Z280" s="29">
        <f>Z96</f>
        <v>0</v>
      </c>
      <c r="AA280" s="29">
        <f>AA96</f>
        <v>0</v>
      </c>
    </row>
    <row r="281" ht="15" customHeight="1">
      <c r="A281" s="27" t="inlineStr">
        <is>
          <t>Due from Meet 5-Star Pros</t>
        </is>
      </c>
      <c r="B281" s="29">
        <f>B97</f>
        <v>0</v>
      </c>
      <c r="C281" s="29">
        <f>C97</f>
        <v>0</v>
      </c>
      <c r="D281" s="29">
        <f>D97</f>
        <v>0</v>
      </c>
      <c r="E281" s="29">
        <f>E97</f>
        <v>0</v>
      </c>
      <c r="F281" s="29">
        <f>F97</f>
        <v>0</v>
      </c>
      <c r="G281" s="29">
        <f>G97</f>
        <v>0</v>
      </c>
      <c r="H281" s="29">
        <f>H97</f>
        <v>0</v>
      </c>
      <c r="I281" s="29">
        <f>I97</f>
        <v>0</v>
      </c>
      <c r="J281" s="29">
        <f>J97</f>
        <v>0</v>
      </c>
      <c r="K281" s="29">
        <f>K97</f>
        <v>0</v>
      </c>
      <c r="L281" s="29">
        <f>L97</f>
        <v>0</v>
      </c>
      <c r="M281" s="29">
        <f>M97</f>
        <v>0</v>
      </c>
      <c r="N281" s="29">
        <f>N97</f>
        <v>0</v>
      </c>
      <c r="O281" s="29">
        <f>O97</f>
        <v>0</v>
      </c>
      <c r="P281" s="29">
        <f>P97</f>
        <v>0</v>
      </c>
      <c r="Q281" s="29">
        <f>Q97</f>
        <v>0</v>
      </c>
      <c r="R281" s="29">
        <f>R97</f>
        <v>0</v>
      </c>
      <c r="S281" s="29">
        <f>S97</f>
        <v>0</v>
      </c>
      <c r="T281" s="29">
        <f>T97</f>
        <v>5109.0900000000001</v>
      </c>
      <c r="U281" s="29">
        <f>U97</f>
        <v>1712.6000000000004</v>
      </c>
      <c r="V281" s="29">
        <f>V97</f>
        <v>0</v>
      </c>
      <c r="W281" s="29">
        <f>W97</f>
        <v>0</v>
      </c>
      <c r="X281" s="29">
        <f>X97</f>
        <v>0</v>
      </c>
      <c r="Y281" s="29">
        <f>Y97</f>
        <v>0</v>
      </c>
      <c r="Z281" s="29">
        <f>Z97</f>
        <v>0</v>
      </c>
      <c r="AA281" s="29">
        <f>AA97</f>
        <v>0</v>
      </c>
    </row>
    <row r="282" ht="15" customHeight="1">
      <c r="A282" s="27" t="inlineStr">
        <is>
          <t>Due from Meet 5-star VAs</t>
        </is>
      </c>
      <c r="B282" s="29">
        <f>B98</f>
        <v>0</v>
      </c>
      <c r="C282" s="29">
        <f>C98</f>
        <v>263.97000000000003</v>
      </c>
      <c r="D282" s="29">
        <f>D98</f>
        <v>-4.3799999999999386</v>
      </c>
      <c r="E282" s="29">
        <f>E98</f>
        <v>39.59000000000006</v>
      </c>
      <c r="F282" s="29">
        <f>F98</f>
        <v>363.15000000000009</v>
      </c>
      <c r="G282" s="29">
        <f>G98</f>
        <v>1011.8700000000001</v>
      </c>
      <c r="H282" s="29">
        <f>H98</f>
        <v>1037.1800000000001</v>
      </c>
      <c r="I282" s="29">
        <f>I98</f>
        <v>1520.0800000000002</v>
      </c>
      <c r="J282" s="29">
        <f>J98</f>
        <v>-532.64999999999986</v>
      </c>
      <c r="K282" s="29">
        <f>K98</f>
        <v>-532.64999999999986</v>
      </c>
      <c r="L282" s="29">
        <f>L98</f>
        <v>-88.339999999999861</v>
      </c>
      <c r="M282" s="29">
        <f>M98</f>
        <v>-532.64999999999986</v>
      </c>
      <c r="N282" s="29">
        <f>N98</f>
        <v>-57.249999999999886</v>
      </c>
      <c r="O282" s="29">
        <f>O98</f>
        <v>672.95000000000016</v>
      </c>
      <c r="P282" s="29">
        <f>P98</f>
        <v>-532.64999999999975</v>
      </c>
      <c r="Q282" s="29">
        <f>Q98</f>
        <v>-532.64999999999975</v>
      </c>
      <c r="R282" s="29">
        <f>R98</f>
        <v>-532.64999999999975</v>
      </c>
      <c r="S282" s="29">
        <f>S98</f>
        <v>-532.64999999999975</v>
      </c>
      <c r="T282" s="29">
        <f>T98</f>
        <v>-532.64999999999975</v>
      </c>
      <c r="U282" s="29">
        <f>U98</f>
        <v>-532.64999999999975</v>
      </c>
      <c r="V282" s="29">
        <f>V98</f>
        <v>-532.64999999999975</v>
      </c>
      <c r="W282" s="29">
        <f>W98</f>
        <v>-532.64999999999975</v>
      </c>
      <c r="X282" s="29">
        <f>X98</f>
        <v>-532.64999999999975</v>
      </c>
      <c r="Y282" s="29">
        <f>Y98</f>
        <v>-532.64999999999975</v>
      </c>
      <c r="Z282" s="29">
        <f>Z98</f>
        <v>-532.64999999999975</v>
      </c>
      <c r="AA282" s="29">
        <f>AA98</f>
        <v>-532.64999999999975</v>
      </c>
    </row>
    <row r="283" ht="15" customHeight="1">
      <c r="A283" s="28" t="inlineStr">
        <is>
          <t>Total Operating Current Assets (excl. cash)</t>
        </is>
      </c>
      <c r="B283" s="22">
        <f>SUM(B276:B282)</f>
        <v>1581.3499999999999</v>
      </c>
      <c r="C283" s="22">
        <f>SUM(C276:C282)</f>
        <v>1666.3699999999978</v>
      </c>
      <c r="D283" s="22">
        <f>SUM(D276:D282)</f>
        <v>6093.9099999999935</v>
      </c>
      <c r="E283" s="22">
        <f>SUM(E276:E282)</f>
        <v>2872.899999999986</v>
      </c>
      <c r="F283" s="22">
        <f>SUM(F276:F282)</f>
        <v>4714.489999999998</v>
      </c>
      <c r="G283" s="22">
        <f>SUM(G276:G282)</f>
        <v>5698.8700000000053</v>
      </c>
      <c r="H283" s="22">
        <f>SUM(H276:H282)</f>
        <v>8423.8500000000022</v>
      </c>
      <c r="I283" s="22">
        <f>SUM(I276:I282)</f>
        <v>4595.0599999999949</v>
      </c>
      <c r="J283" s="22">
        <f>SUM(J276:J282)</f>
        <v>3104.9099999999917</v>
      </c>
      <c r="K283" s="22">
        <f>SUM(K276:K282)</f>
        <v>4407.930000000003</v>
      </c>
      <c r="L283" s="22">
        <f>SUM(L276:L282)</f>
        <v>2454.7800000000111</v>
      </c>
      <c r="M283" s="22">
        <f>SUM(M276:M282)</f>
        <v>1485.070000000012</v>
      </c>
      <c r="N283" s="22">
        <f>SUM(N276:N282)</f>
        <v>2055.6200000000263</v>
      </c>
      <c r="O283" s="22">
        <f>SUM(O276:O282)</f>
        <v>2552.8000000000211</v>
      </c>
      <c r="P283" s="22">
        <f>SUM(P276:P282)</f>
        <v>3156.7000000000289</v>
      </c>
      <c r="Q283" s="22">
        <f>SUM(Q276:Q282)</f>
        <v>3855.0100000000311</v>
      </c>
      <c r="R283" s="22">
        <f>SUM(R276:R282)</f>
        <v>3123.9600000000373</v>
      </c>
      <c r="S283" s="22">
        <f>SUM(S276:S282)</f>
        <v>2959.7900000000373</v>
      </c>
      <c r="T283" s="22">
        <f>SUM(T276:T282)</f>
        <v>-579.49999999996282</v>
      </c>
      <c r="U283" s="22">
        <f>SUM(U276:U282)</f>
        <v>-123.84999999996592</v>
      </c>
      <c r="V283" s="22">
        <f>SUM(V276:V282)</f>
        <v>1523.1500000000456</v>
      </c>
      <c r="W283" s="22">
        <f>SUM(W276:W282)</f>
        <v>797.79000000005442</v>
      </c>
      <c r="X283" s="22">
        <f>SUM(X276:X282)</f>
        <v>501.36000000006459</v>
      </c>
      <c r="Y283" s="22">
        <f>SUM(Y276:Y282)</f>
        <v>311.97000000004994</v>
      </c>
      <c r="Z283" s="22">
        <f>SUM(Z276:Z282)</f>
        <v>229.25000000004457</v>
      </c>
      <c r="AA283" s="22">
        <f>SUM(AA276:AA282)</f>
        <v>123.60000000004095</v>
      </c>
    </row>
    <row r="284" ht="15" customHeight="1">
      <c r="A284" s="19" t="inlineStr">
        <is>
          <t>Total Current Liabilities</t>
        </is>
      </c>
      <c r="B284" s="29">
        <f>B121</f>
        <v>18659.279999999999</v>
      </c>
      <c r="C284" s="29">
        <f>C121</f>
        <v>19919.779999999999</v>
      </c>
      <c r="D284" s="29">
        <f>D121</f>
        <v>15036.059999999999</v>
      </c>
      <c r="E284" s="29">
        <f>E121</f>
        <v>13775.549999999999</v>
      </c>
      <c r="F284" s="29">
        <f>F121</f>
        <v>12360.34</v>
      </c>
      <c r="G284" s="29">
        <f>G121</f>
        <v>35334.239999999998</v>
      </c>
      <c r="H284" s="29">
        <f>H121</f>
        <v>34589.650000000001</v>
      </c>
      <c r="I284" s="29">
        <f>I121</f>
        <v>35613.290000000001</v>
      </c>
      <c r="J284" s="29">
        <f>J121</f>
        <v>39020.290000000001</v>
      </c>
      <c r="K284" s="29">
        <f>K121</f>
        <v>38289.029999999999</v>
      </c>
      <c r="L284" s="29">
        <f>L121</f>
        <v>38026.57</v>
      </c>
      <c r="M284" s="29">
        <f>M121</f>
        <v>34033.82</v>
      </c>
      <c r="N284" s="29">
        <f>N121</f>
        <v>33119.050000000003</v>
      </c>
      <c r="O284" s="29">
        <f>O121</f>
        <v>26770.549999999999</v>
      </c>
      <c r="P284" s="29">
        <f>P121</f>
        <v>23240.07</v>
      </c>
      <c r="Q284" s="29">
        <f>Q121</f>
        <v>12529.190000000001</v>
      </c>
      <c r="R284" s="29">
        <f>R121</f>
        <v>10903.42</v>
      </c>
      <c r="S284" s="29">
        <f>S121</f>
        <v>10408.99</v>
      </c>
      <c r="T284" s="29">
        <f>T121</f>
        <v>5604.54</v>
      </c>
      <c r="U284" s="29">
        <f>U121</f>
        <v>5302.4300000000003</v>
      </c>
      <c r="V284" s="29">
        <f>V121</f>
        <v>9239.7399999999998</v>
      </c>
      <c r="W284" s="29">
        <f>W121</f>
        <v>7746.3500000000004</v>
      </c>
      <c r="X284" s="29">
        <f>X121</f>
        <v>2982.6100000000001</v>
      </c>
      <c r="Y284" s="29">
        <f>Y121</f>
        <v>3949.1999999999998</v>
      </c>
      <c r="Z284" s="29">
        <f>Z121</f>
        <v>3434.7199999999998</v>
      </c>
      <c r="AA284" s="29">
        <f>AA121</f>
        <v>5058.4300000000003</v>
      </c>
    </row>
    <row r="285" ht="15" customHeight="1">
      <c r="A285" s="21" t="inlineStr">
        <is>
          <t>Net Working Capital</t>
        </is>
      </c>
      <c r="B285" s="22">
        <f>B100-B121</f>
        <v>11291.730000000003</v>
      </c>
      <c r="C285" s="22">
        <f>C100-C121</f>
        <v>5117.6999999999998</v>
      </c>
      <c r="D285" s="22">
        <f>D100-D121</f>
        <v>13177.209999999999</v>
      </c>
      <c r="E285" s="22">
        <f>E100-E121</f>
        <v>12147.82</v>
      </c>
      <c r="F285" s="22">
        <f>F100-F121</f>
        <v>12433.32</v>
      </c>
      <c r="G285" s="22">
        <f>G100-G121</f>
        <v>10766.82</v>
      </c>
      <c r="H285" s="22">
        <f>H100-H121</f>
        <v>5853.3200000000097</v>
      </c>
      <c r="I285" s="22">
        <f>I100-I121</f>
        <v>-12254.719999999999</v>
      </c>
      <c r="J285" s="22">
        <f>J100-J121</f>
        <v>-12397.24</v>
      </c>
      <c r="K285" s="22">
        <f>K100-K121</f>
        <v>-14438.16</v>
      </c>
      <c r="L285" s="22">
        <f>L100-L121</f>
        <v>-6014.5699999999997</v>
      </c>
      <c r="M285" s="22">
        <f>M100-M121</f>
        <v>2904.8899999999999</v>
      </c>
      <c r="N285" s="22">
        <f>N100-N121</f>
        <v>21620.52</v>
      </c>
      <c r="O285" s="22">
        <f>O100-O121</f>
        <v>14614.870000000001</v>
      </c>
      <c r="P285" s="22">
        <f>P100-P121</f>
        <v>43843.370000000003</v>
      </c>
      <c r="Q285" s="22">
        <f>Q100-Q121</f>
        <v>36157.860000000001</v>
      </c>
      <c r="R285" s="22">
        <f>R100-R121</f>
        <v>46222.589999999997</v>
      </c>
      <c r="S285" s="22">
        <f>S100-S121</f>
        <v>65292.959999999999</v>
      </c>
      <c r="T285" s="22">
        <f>T100-T121</f>
        <v>66407.410000000003</v>
      </c>
      <c r="U285" s="22">
        <f>U100-U121</f>
        <v>55912.07</v>
      </c>
      <c r="V285" s="22">
        <f>V100-V121</f>
        <v>74819.289999999994</v>
      </c>
      <c r="W285" s="22">
        <f>W100-W121</f>
        <v>66481.039999999994</v>
      </c>
      <c r="X285" s="22">
        <f>X100-X121</f>
        <v>66880.860000000001</v>
      </c>
      <c r="Y285" s="22">
        <f>Y100-Y121</f>
        <v>83835.839999999997</v>
      </c>
      <c r="Z285" s="22">
        <f>Z100-Z121</f>
        <v>89233.100000000006</v>
      </c>
      <c r="AA285" s="22">
        <f>AA100-AA121</f>
        <v>82239.320000000094</v>
      </c>
    </row>
    <row r="286" ht="15" customHeight="1">
      <c r="A286" s="28" t="inlineStr">
        <is>
          <t>Net Working Capital excluding Cash</t>
        </is>
      </c>
      <c r="B286" s="23">
        <f>B285-B275</f>
        <v>-17077.929999999997</v>
      </c>
      <c r="C286" s="23">
        <f>C285-C275</f>
        <v>-18253.41</v>
      </c>
      <c r="D286" s="23">
        <f>D285-D275</f>
        <v>-8942.1500000000106</v>
      </c>
      <c r="E286" s="23">
        <f>E285-E275</f>
        <v>-10902.65</v>
      </c>
      <c r="F286" s="23">
        <f>F285-F275</f>
        <v>-7645.8500000000004</v>
      </c>
      <c r="G286" s="23">
        <f>G285-G275</f>
        <v>-29635.369999999999</v>
      </c>
      <c r="H286" s="23">
        <f>H285-H275</f>
        <v>-26165.799999999999</v>
      </c>
      <c r="I286" s="23">
        <f>I285-I275</f>
        <v>-31018.23</v>
      </c>
      <c r="J286" s="23">
        <f>J285-J275</f>
        <v>-35915.379999999997</v>
      </c>
      <c r="K286" s="23">
        <f>K285-K275</f>
        <v>-33881.099999999999</v>
      </c>
      <c r="L286" s="23">
        <f>L285-L275</f>
        <v>-35571.790000000001</v>
      </c>
      <c r="M286" s="23">
        <f>M285-M275</f>
        <v>-32548.75</v>
      </c>
      <c r="N286" s="23">
        <f>N285-N275</f>
        <v>-31063.43</v>
      </c>
      <c r="O286" s="23">
        <f>O285-O275</f>
        <v>-24217.75</v>
      </c>
      <c r="P286" s="23">
        <f>P285-P275</f>
        <v>-20083.369999999999</v>
      </c>
      <c r="Q286" s="23">
        <f>Q285-Q275</f>
        <v>-8674.1800000000094</v>
      </c>
      <c r="R286" s="23">
        <f>R285-R275</f>
        <v>-7779.46</v>
      </c>
      <c r="S286" s="23">
        <f>S285-S275</f>
        <v>-7449.1999999999998</v>
      </c>
      <c r="T286" s="23">
        <f>T285-T275</f>
        <v>-6184.03999999999</v>
      </c>
      <c r="U286" s="23">
        <f>U285-U275</f>
        <v>-5426.2800000000097</v>
      </c>
      <c r="V286" s="23">
        <f>V285-V275</f>
        <v>-7716.5899999999801</v>
      </c>
      <c r="W286" s="23">
        <f>W285-W275</f>
        <v>-6948.5599999999804</v>
      </c>
      <c r="X286" s="23">
        <f>X285-X275</f>
        <v>-2481.24999999999</v>
      </c>
      <c r="Y286" s="23">
        <f>Y285-Y275</f>
        <v>-3637.22999999998</v>
      </c>
      <c r="Z286" s="23">
        <f>Z285-Z275</f>
        <v>-3205.4699999999898</v>
      </c>
      <c r="AA286" s="23">
        <f>AA285-AA275</f>
        <v>-4934.8299999999699</v>
      </c>
    </row>
    <row r="287" ht="15" customHeight="1">
      <c r="A287" s="19" t="inlineStr">
        <is>
          <t>Change in Net Working Capital (MoM)</t>
        </is>
      </c>
      <c r="C287" s="29">
        <f>C285-B285</f>
        <v>-6174.0299999999997</v>
      </c>
      <c r="D287" s="29">
        <f>D285-C285</f>
        <v>8059.5099999999902</v>
      </c>
      <c r="E287" s="29">
        <f>E285-D285</f>
        <v>-1029.3900000000001</v>
      </c>
      <c r="F287" s="29">
        <f>F285-E285</f>
        <v>285.50000000000699</v>
      </c>
      <c r="G287" s="29">
        <f>G285-F285</f>
        <v>-1666.5</v>
      </c>
      <c r="H287" s="29">
        <f>H285-G285</f>
        <v>-4913.49999999999</v>
      </c>
      <c r="I287" s="29">
        <f>I285-H285</f>
        <v>-18108.040000000001</v>
      </c>
      <c r="J287" s="29">
        <f>J285-I285</f>
        <v>-142.52000000001499</v>
      </c>
      <c r="K287" s="29">
        <f>K285-J285</f>
        <v>-2040.9200000000001</v>
      </c>
      <c r="L287" s="29">
        <f>L285-K285</f>
        <v>8423.5900000000092</v>
      </c>
      <c r="M287" s="29">
        <f>M285-L285</f>
        <v>8919.4599999999991</v>
      </c>
      <c r="N287" s="29">
        <f>N285-M285</f>
        <v>18715.630000000001</v>
      </c>
      <c r="O287" s="29">
        <f>O285-N285</f>
        <v>-7005.6499999999996</v>
      </c>
      <c r="P287" s="29">
        <f>P285-O285</f>
        <v>29228.5</v>
      </c>
      <c r="Q287" s="29">
        <f>Q285-P285</f>
        <v>-7685.5100000000202</v>
      </c>
      <c r="R287" s="29">
        <f>R285-Q285</f>
        <v>10064.73</v>
      </c>
      <c r="S287" s="29">
        <f>S285-R285</f>
        <v>19070.369999999999</v>
      </c>
      <c r="T287" s="29">
        <f>T285-S285</f>
        <v>1114.45</v>
      </c>
      <c r="U287" s="29">
        <f>U285-T285</f>
        <v>-10495.34</v>
      </c>
      <c r="V287" s="29">
        <f>V285-U285</f>
        <v>18907.220000000001</v>
      </c>
      <c r="W287" s="29">
        <f>W285-V285</f>
        <v>-8338.25</v>
      </c>
      <c r="X287" s="29">
        <f>X285-W285</f>
        <v>399.81999999999198</v>
      </c>
      <c r="Y287" s="29">
        <f>Y285-X285</f>
        <v>16954.98</v>
      </c>
      <c r="Z287" s="29">
        <f>Z285-Y285</f>
        <v>5397.2600000000002</v>
      </c>
      <c r="AA287" s="29">
        <f>AA285-Z285</f>
        <v>-6993.7799999999797</v>
      </c>
    </row>
    <row r="288" ht="15" customHeight="1">
      <c r="A288" s="19" t="inlineStr">
        <is>
          <t>Change in NWC excluding Cash (MoM)</t>
        </is>
      </c>
      <c r="C288" s="29">
        <f>C286-B286</f>
        <v>-1175.48</v>
      </c>
      <c r="D288" s="29">
        <f>D286-C286</f>
        <v>9311.2599999999893</v>
      </c>
      <c r="E288" s="29">
        <f>E286-D286</f>
        <v>-1960.5</v>
      </c>
      <c r="F288" s="29">
        <f>F286-E286</f>
        <v>3256.8000000000002</v>
      </c>
      <c r="G288" s="29">
        <f>G286-F286</f>
        <v>-21989.52</v>
      </c>
      <c r="H288" s="29">
        <f>H286-G286</f>
        <v>3469.5700000000102</v>
      </c>
      <c r="I288" s="29">
        <f>I286-H286</f>
        <v>-4852.4300000000003</v>
      </c>
      <c r="J288" s="29">
        <f>J286-I286</f>
        <v>-4897.1500000000196</v>
      </c>
      <c r="K288" s="29">
        <f>K286-J286</f>
        <v>2034.28000000001</v>
      </c>
      <c r="L288" s="29">
        <f>L286-K286</f>
        <v>-1690.6900000000001</v>
      </c>
      <c r="M288" s="29">
        <f>M286-L286</f>
        <v>3023.04</v>
      </c>
      <c r="N288" s="29">
        <f>N286-M286</f>
        <v>1485.3199999999999</v>
      </c>
      <c r="O288" s="29">
        <f>O286-N286</f>
        <v>6845.6800000000003</v>
      </c>
      <c r="P288" s="29">
        <f>P286-O286</f>
        <v>4134.3800000000201</v>
      </c>
      <c r="Q288" s="29">
        <f>Q286-P286</f>
        <v>11409.190000000001</v>
      </c>
      <c r="R288" s="29">
        <f>R286-Q286</f>
        <v>894.72000000000799</v>
      </c>
      <c r="S288" s="29">
        <f>S286-R286</f>
        <v>330.26000000000198</v>
      </c>
      <c r="T288" s="29">
        <f>T286-S286</f>
        <v>1265.1600000000001</v>
      </c>
      <c r="U288" s="29">
        <f>U286-T286</f>
        <v>757.75999999997998</v>
      </c>
      <c r="V288" s="29">
        <f>V286-U286</f>
        <v>-2290.3099999999699</v>
      </c>
      <c r="W288" s="29">
        <f>W286-V286</f>
        <v>768.02999999999895</v>
      </c>
      <c r="X288" s="29">
        <f>X286-W286</f>
        <v>4467.3100000000004</v>
      </c>
      <c r="Y288" s="29">
        <f>Y286-X286</f>
        <v>-1155.98</v>
      </c>
      <c r="Z288" s="29">
        <f>Z286-Y286</f>
        <v>431.75999999999499</v>
      </c>
      <c r="AA288" s="29">
        <f>AA286-Z286</f>
        <v>-1729.3599999999899</v>
      </c>
    </row>
    <row r="290" ht="15" customHeight="1">
      <c r="A290" s="27" t="inlineStr">
        <is>
          <t>Days in Month</t>
        </is>
      </c>
      <c r="C290" s="38" t="n">
        <v>30</v>
      </c>
      <c r="D290" s="38" t="n">
        <v>31</v>
      </c>
      <c r="E290" s="38" t="n">
        <v>31</v>
      </c>
      <c r="F290" s="38" t="n">
        <v>30</v>
      </c>
      <c r="G290" s="38" t="n">
        <v>31</v>
      </c>
      <c r="H290" s="38" t="n">
        <v>30</v>
      </c>
      <c r="I290" s="38" t="n">
        <v>31</v>
      </c>
      <c r="J290" s="38" t="n">
        <v>31</v>
      </c>
      <c r="K290" s="38" t="n">
        <v>28</v>
      </c>
      <c r="L290" s="38" t="n">
        <v>31</v>
      </c>
      <c r="M290" s="38" t="n">
        <v>30</v>
      </c>
      <c r="N290" s="38" t="n">
        <v>31</v>
      </c>
      <c r="O290" s="38" t="n">
        <v>30</v>
      </c>
      <c r="P290" s="38" t="n">
        <v>31</v>
      </c>
      <c r="Q290" s="38" t="n">
        <v>31</v>
      </c>
      <c r="R290" s="38" t="n">
        <v>30</v>
      </c>
      <c r="S290" s="38" t="n">
        <v>31</v>
      </c>
      <c r="T290" s="38" t="n">
        <v>30</v>
      </c>
      <c r="U290" s="38" t="n">
        <v>31</v>
      </c>
      <c r="V290" s="38" t="n">
        <v>31</v>
      </c>
      <c r="W290" s="38" t="n">
        <v>28</v>
      </c>
      <c r="X290" s="38" t="n">
        <v>31</v>
      </c>
      <c r="Y290" s="38" t="n">
        <v>30</v>
      </c>
      <c r="Z290" s="38" t="n">
        <v>31</v>
      </c>
      <c r="AA290" s="38" t="n">
        <v>30</v>
      </c>
    </row>
    <row r="291" ht="15" customHeight="1">
      <c r="A291" s="27" t="inlineStr">
        <is>
          <t>Accounts Receivable — Closing Balance</t>
        </is>
      </c>
      <c r="B291" s="29">
        <f>B92</f>
        <v>532.64999999999998</v>
      </c>
      <c r="C291" s="29">
        <f>C92</f>
        <v>532.64999999999793</v>
      </c>
      <c r="D291" s="29">
        <f>D92</f>
        <v>532.64999999999418</v>
      </c>
      <c r="E291" s="29">
        <f>E92</f>
        <v>1248.1099999999856</v>
      </c>
      <c r="F291" s="29">
        <f>F92</f>
        <v>2149.2499999999977</v>
      </c>
      <c r="G291" s="29">
        <f>G92</f>
        <v>3016.9300000000053</v>
      </c>
      <c r="H291" s="29">
        <f>H92</f>
        <v>3872.3300000000022</v>
      </c>
      <c r="I291" s="29">
        <f>I92</f>
        <v>656.249999999995</v>
      </c>
      <c r="J291" s="29">
        <f>J92</f>
        <v>1686.6699999999914</v>
      </c>
      <c r="K291" s="29">
        <f>K92</f>
        <v>3674.8100000000031</v>
      </c>
      <c r="L291" s="29">
        <f>L92</f>
        <v>1542.5400000000109</v>
      </c>
      <c r="M291" s="29">
        <f>M92</f>
        <v>656.25000000001216</v>
      </c>
      <c r="N291" s="29">
        <f>N92</f>
        <v>656.25000000002672</v>
      </c>
      <c r="O291" s="29">
        <f>O92</f>
        <v>656.25000000002126</v>
      </c>
      <c r="P291" s="29">
        <f>P92</f>
        <v>2271.0700000000284</v>
      </c>
      <c r="Q291" s="29">
        <f>Q92</f>
        <v>2555.4700000000307</v>
      </c>
      <c r="R291" s="29">
        <f>R92</f>
        <v>2271.0700000000375</v>
      </c>
      <c r="S291" s="29">
        <f>S92</f>
        <v>2271.0700000000375</v>
      </c>
      <c r="T291" s="29">
        <f>T92</f>
        <v>-6578.7899999999627</v>
      </c>
      <c r="U291" s="29">
        <f>U92</f>
        <v>-2768.9499999999662</v>
      </c>
      <c r="V291" s="29">
        <f>V92</f>
        <v>656.25000000004547</v>
      </c>
      <c r="W291" s="29">
        <f>W92</f>
        <v>656.25000000005457</v>
      </c>
      <c r="X291" s="29">
        <f>X92</f>
        <v>656.25000000006457</v>
      </c>
      <c r="Y291" s="29">
        <f>Y92</f>
        <v>656.25000000005002</v>
      </c>
      <c r="Z291" s="29">
        <f>Z92</f>
        <v>656.25000000004457</v>
      </c>
      <c r="AA291" s="29">
        <f>AA92</f>
        <v>656.25000000004093</v>
      </c>
    </row>
    <row r="292" ht="15" customHeight="1">
      <c r="A292" s="28" t="inlineStr">
        <is>
          <t>DSO — Days Sales Outstanding (monthly)</t>
        </is>
      </c>
      <c r="C292" s="39">
        <f>IFERROR(C92/C15*C290,0)</f>
        <v>0.24388907492329676</v>
      </c>
      <c r="D292" s="39">
        <f>IFERROR(D92/D15*D290,0)</f>
        <v>0.21019197792393035</v>
      </c>
      <c r="E292" s="39">
        <f>IFERROR(E92/E15*E290,0)</f>
        <v>0.55715264907861572</v>
      </c>
      <c r="F292" s="39">
        <f>IFERROR(F92/F15*F290,0)</f>
        <v>0.92879865722312904</v>
      </c>
      <c r="G292" s="39">
        <f>IFERROR(G92/G15*G290,0)</f>
        <v>1.2536393474441818</v>
      </c>
      <c r="H292" s="39">
        <f>IFERROR(H92/H15*H290,0)</f>
        <v>1.6701977066068125</v>
      </c>
      <c r="I292" s="39">
        <f>IFERROR(I92/I15*I290,0)</f>
        <v>0.29784846348624672</v>
      </c>
      <c r="J292" s="39">
        <f>IFERROR(J92/J15*J290,0)</f>
        <v>0.79723161031826484</v>
      </c>
      <c r="K292" s="39">
        <f>IFERROR(K92/K15*K290,0)</f>
        <v>1.7009504986241273</v>
      </c>
      <c r="L292" s="39">
        <f>IFERROR(L92/L15*L290,0)</f>
        <v>0.69874357276330901</v>
      </c>
      <c r="M292" s="39">
        <f>IFERROR(M92/M15*M290,0)</f>
        <v>0.26214770843289881</v>
      </c>
      <c r="N292" s="39">
        <f>IFERROR(N92/N15*N290,0)</f>
        <v>0.25089811504679332</v>
      </c>
      <c r="O292" s="39">
        <f>IFERROR(O92/O15*O290,0)</f>
        <v>0.35804464250641682</v>
      </c>
      <c r="P292" s="39">
        <f>IFERROR(P92/P15*P290,0)</f>
        <v>0.74184181968134566</v>
      </c>
      <c r="Q292" s="39">
        <f>IFERROR(Q92/Q15*Q290,0)</f>
        <v>1.2659453732497827</v>
      </c>
      <c r="R292" s="39">
        <f>IFERROR(R92/R15*R290,0)</f>
        <v>0.87650814446901071</v>
      </c>
      <c r="S292" s="39">
        <f>IFERROR(S92/S15*S290,0)</f>
        <v>0.74239464639459374</v>
      </c>
      <c r="T292" s="39">
        <f>IFERROR(T92/T15*T290,0)</f>
        <v>-2.4445635985838106</v>
      </c>
      <c r="U292" s="39">
        <f>IFERROR(U92/U15*U290,0)</f>
        <v>-1.0810985264682917</v>
      </c>
      <c r="V292" s="39">
        <f>IFERROR(V92/V15*V290,0)</f>
        <v>0.22137640490704946</v>
      </c>
      <c r="W292" s="39">
        <f>IFERROR(W92/W15*W290,0)</f>
        <v>0.28860443616826176</v>
      </c>
      <c r="X292" s="39">
        <f>IFERROR(X92/X15*X290,0)</f>
        <v>0.30425993067026846</v>
      </c>
      <c r="Y292" s="39">
        <f>IFERROR(Y92/Y15*Y290,0)</f>
        <v>0.22065763428342677</v>
      </c>
      <c r="Z292" s="39">
        <f>IFERROR(Z92/Z15*Z290,0)</f>
        <v>0.26517781692001491</v>
      </c>
      <c r="AA292" s="39">
        <f>IFERROR(AA92/AA15*AA290,0)</f>
        <v>0.30700691531616725</v>
      </c>
    </row>
    <row r="293" ht="15" customHeight="1">
      <c r="A293" s="19" t="inlineStr">
        <is>
          <t>DSO — Days Sales Outstanding (3-month rolling)</t>
        </is>
      </c>
      <c r="C293" s="40">
        <f>IFERROR(C92/SUM(C15:C15)*SUM(C290:C290),0)</f>
        <v>0.24388907492329676</v>
      </c>
      <c r="D293" s="40">
        <f>IFERROR(D92/SUM(C15:D15)*SUM(C290:D290),0)</f>
        <v>0.22551585433373197</v>
      </c>
      <c r="E293" s="40">
        <f>IFERROR(E92/SUM(C15:E15)*SUM(C290:E290),0)</f>
        <v>0.53777207219623824</v>
      </c>
      <c r="F293" s="40">
        <f>IFERROR(F92/SUM(D15:F15)*SUM(D290:F290),0)</f>
        <v>0.90943130176523801</v>
      </c>
      <c r="G293" s="40">
        <f>IFERROR(G92/SUM(E15:G15)*SUM(E290:G290),0)</f>
        <v>1.3002310230466545</v>
      </c>
      <c r="H293" s="40">
        <f>IFERROR(H92/SUM(F15:H15)*SUM(F290:H290),0)</f>
        <v>1.6499019372634476</v>
      </c>
      <c r="I293" s="40">
        <f>IFERROR(I92/SUM(G15:I15)*SUM(G290:I290),0)</f>
        <v>0.28417168648400165</v>
      </c>
      <c r="J293" s="40">
        <f>IFERROR(J92/SUM(H15:J15)*SUM(H290:J290),0)</f>
        <v>0.76274010794703873</v>
      </c>
      <c r="K293" s="40">
        <f>IFERROR(K92/SUM(I15:K15)*SUM(I290:K290),0)</f>
        <v>1.7014739616266543</v>
      </c>
      <c r="L293" s="40">
        <f>IFERROR(L92/SUM(J15:L15)*SUM(J290:L290),0)</f>
        <v>0.71372328458943135</v>
      </c>
      <c r="M293" s="40">
        <f>IFERROR(M92/SUM(K15:M15)*SUM(K290:M290),0)</f>
        <v>0.28626505591839946</v>
      </c>
      <c r="N293" s="40">
        <f>IFERROR(N92/SUM(L15:N15)*SUM(L290:N290),0)</f>
        <v>0.26878750058655754</v>
      </c>
      <c r="O293" s="40">
        <f>IFERROR(O92/SUM(M15:O15)*SUM(M290:O290),0)</f>
        <v>0.28279851945342188</v>
      </c>
      <c r="P293" s="40">
        <f>IFERROR(P92/SUM(N15:P15)*SUM(N290:P290),0)</f>
        <v>0.90460083053835816</v>
      </c>
      <c r="Q293" s="40">
        <f>IFERROR(Q92/SUM(O15:Q15)*SUM(O290:Q290),0)</f>
        <v>1.106541225246672</v>
      </c>
      <c r="R293" s="40">
        <f>IFERROR(R92/SUM(P15:R15)*SUM(P290:R290),0)</f>
        <v>0.88829880156144936</v>
      </c>
      <c r="S293" s="40">
        <f>IFERROR(S92/SUM(Q15:S15)*SUM(Q290:S290),0)</f>
        <v>0.88856577336803588</v>
      </c>
      <c r="T293" s="40">
        <f>IFERROR(T92/SUM(R15:T15)*SUM(R290:T290),0)</f>
        <v>-2.3634855217683208</v>
      </c>
      <c r="U293" s="40">
        <f>IFERROR(U92/SUM(S15:U15)*SUM(S290:U290),0)</f>
        <v>-0.99912435610207584</v>
      </c>
      <c r="V293" s="40">
        <f>IFERROR(V92/SUM(T15:V15)*SUM(T290:V290),0)</f>
        <v>0.2395540830193241</v>
      </c>
      <c r="W293" s="40">
        <f>IFERROR(W92/SUM(U15:W15)*SUM(U290:W290),0)</f>
        <v>0.25136886172137696</v>
      </c>
      <c r="X293" s="40">
        <f>IFERROR(X92/SUM(V15:X15)*SUM(V290:X290),0)</f>
        <v>0.26553516130625809</v>
      </c>
      <c r="Y293" s="40">
        <f>IFERROR(Y92/SUM(W15:Y15)*SUM(W290:Y290),0)</f>
        <v>0.26578081026716277</v>
      </c>
      <c r="Z293" s="40">
        <f>IFERROR(Z92/SUM(X15:Z15)*SUM(X290:Z290),0)</f>
        <v>0.25934013217564228</v>
      </c>
      <c r="AA293" s="40">
        <f>IFERROR(AA92/SUM(Y15:AA15)*SUM(Y290:AA290),0)</f>
        <v>0.25957164392529103</v>
      </c>
    </row>
    <row r="295" ht="15" customHeight="1">
      <c r="A295" s="2" t="inlineStr">
        <is>
          <t>Schedule 8 — Fixed Assets</t>
        </is>
      </c>
    </row>
    <row r="296" ht="21.75" customHeight="1">
      <c r="B296" s="17" t="inlineStr">
        <is>
          <t>TB 5/31/24</t>
        </is>
      </c>
      <c r="C296" s="18" t="inlineStr">
        <is>
          <t>Jun-24</t>
        </is>
      </c>
      <c r="D296" s="18" t="inlineStr">
        <is>
          <t>Jul-24</t>
        </is>
      </c>
      <c r="E296" s="18" t="inlineStr">
        <is>
          <t>Aug-24</t>
        </is>
      </c>
      <c r="F296" s="18" t="inlineStr">
        <is>
          <t>Sep-24</t>
        </is>
      </c>
      <c r="G296" s="18" t="inlineStr">
        <is>
          <t>Oct-24</t>
        </is>
      </c>
      <c r="H296" s="18" t="inlineStr">
        <is>
          <t>Nov-24</t>
        </is>
      </c>
      <c r="I296" s="18" t="inlineStr">
        <is>
          <t>Dec-24</t>
        </is>
      </c>
      <c r="J296" s="18" t="inlineStr">
        <is>
          <t>Jan-25</t>
        </is>
      </c>
      <c r="K296" s="18" t="inlineStr">
        <is>
          <t>Feb-25</t>
        </is>
      </c>
      <c r="L296" s="18" t="inlineStr">
        <is>
          <t>Mar-25</t>
        </is>
      </c>
      <c r="M296" s="18" t="inlineStr">
        <is>
          <t>Apr-25</t>
        </is>
      </c>
      <c r="N296" s="18" t="inlineStr">
        <is>
          <t>May-25</t>
        </is>
      </c>
      <c r="O296" s="18" t="inlineStr">
        <is>
          <t>Jun-25</t>
        </is>
      </c>
      <c r="P296" s="18" t="inlineStr">
        <is>
          <t>Jul-25</t>
        </is>
      </c>
      <c r="Q296" s="18" t="inlineStr">
        <is>
          <t>Aug-25</t>
        </is>
      </c>
      <c r="R296" s="18" t="inlineStr">
        <is>
          <t>Sep-25</t>
        </is>
      </c>
      <c r="S296" s="18" t="inlineStr">
        <is>
          <t>Oct-25</t>
        </is>
      </c>
      <c r="T296" s="18" t="inlineStr">
        <is>
          <t>Nov-25</t>
        </is>
      </c>
      <c r="U296" s="18" t="inlineStr">
        <is>
          <t>Dec-25</t>
        </is>
      </c>
      <c r="V296" s="18" t="inlineStr">
        <is>
          <t>Jan-26</t>
        </is>
      </c>
      <c r="W296" s="18" t="inlineStr">
        <is>
          <t>Feb-26</t>
        </is>
      </c>
      <c r="X296" s="18" t="inlineStr">
        <is>
          <t>Mar-26</t>
        </is>
      </c>
      <c r="Y296" s="18" t="inlineStr">
        <is>
          <t>Apr-26</t>
        </is>
      </c>
      <c r="Z296" s="18" t="inlineStr">
        <is>
          <t>May-26</t>
        </is>
      </c>
      <c r="AA296" s="18" t="inlineStr">
        <is>
          <t>Jun-26</t>
        </is>
      </c>
    </row>
    <row r="297" ht="15" customHeight="1">
      <c r="A297" s="27" t="inlineStr">
        <is>
          <t>Office Equipment</t>
        </is>
      </c>
      <c r="B297" s="29">
        <f>B103</f>
        <v>8982.8500000000004</v>
      </c>
      <c r="C297" s="29">
        <f>C103</f>
        <v>8982.8500000000004</v>
      </c>
      <c r="D297" s="29">
        <f>D103</f>
        <v>8982.8500000000004</v>
      </c>
      <c r="E297" s="29">
        <f>E103</f>
        <v>8982.8500000000004</v>
      </c>
      <c r="F297" s="29">
        <f>F103</f>
        <v>8982.8500000000004</v>
      </c>
      <c r="G297" s="29">
        <f>G103</f>
        <v>8982.8500000000004</v>
      </c>
      <c r="H297" s="29">
        <f>H103</f>
        <v>8982.8500000000004</v>
      </c>
      <c r="I297" s="29">
        <f>I103</f>
        <v>8982.8500000000004</v>
      </c>
      <c r="J297" s="29">
        <f>J103</f>
        <v>8982.8500000000004</v>
      </c>
      <c r="K297" s="29">
        <f>K103</f>
        <v>8982.8500000000004</v>
      </c>
      <c r="L297" s="29">
        <f>L103</f>
        <v>8982.8500000000004</v>
      </c>
      <c r="M297" s="29">
        <f>M103</f>
        <v>8982.8500000000004</v>
      </c>
      <c r="N297" s="29">
        <f>N103</f>
        <v>8982.8500000000004</v>
      </c>
      <c r="O297" s="29">
        <f>O103</f>
        <v>8982.8500000000004</v>
      </c>
      <c r="P297" s="29">
        <f>P103</f>
        <v>8982.8500000000004</v>
      </c>
      <c r="Q297" s="29">
        <f>Q103</f>
        <v>8982.8500000000004</v>
      </c>
      <c r="R297" s="29">
        <f>R103</f>
        <v>8982.8500000000004</v>
      </c>
      <c r="S297" s="29">
        <f>S103</f>
        <v>8982.8500000000004</v>
      </c>
      <c r="T297" s="29">
        <f>T103</f>
        <v>8982.8500000000004</v>
      </c>
      <c r="U297" s="29">
        <f>U103</f>
        <v>8982.8500000000004</v>
      </c>
      <c r="V297" s="29">
        <f>V103</f>
        <v>8982.8500000000004</v>
      </c>
      <c r="W297" s="29">
        <f>W103</f>
        <v>8982.8500000000004</v>
      </c>
      <c r="X297" s="29">
        <f>X103</f>
        <v>8982.8500000000004</v>
      </c>
      <c r="Y297" s="29">
        <f>Y103</f>
        <v>8982.8500000000004</v>
      </c>
      <c r="Z297" s="29">
        <f>Z103</f>
        <v>8982.8500000000004</v>
      </c>
      <c r="AA297" s="29">
        <f>AA103</f>
        <v>8982.8500000000004</v>
      </c>
    </row>
    <row r="298" ht="15" customHeight="1">
      <c r="A298" s="27" t="inlineStr">
        <is>
          <t>Office Furniture &amp; Fixtures</t>
        </is>
      </c>
      <c r="B298" s="29">
        <f>B104</f>
        <v>3771.54</v>
      </c>
      <c r="C298" s="29">
        <f>C104</f>
        <v>3771.54</v>
      </c>
      <c r="D298" s="29">
        <f>D104</f>
        <v>3771.54</v>
      </c>
      <c r="E298" s="29">
        <f>E104</f>
        <v>3771.54</v>
      </c>
      <c r="F298" s="29">
        <f>F104</f>
        <v>3771.54</v>
      </c>
      <c r="G298" s="29">
        <f>G104</f>
        <v>3771.54</v>
      </c>
      <c r="H298" s="29">
        <f>H104</f>
        <v>3771.54</v>
      </c>
      <c r="I298" s="29">
        <f>I104</f>
        <v>3771.54</v>
      </c>
      <c r="J298" s="29">
        <f>J104</f>
        <v>3771.54</v>
      </c>
      <c r="K298" s="29">
        <f>K104</f>
        <v>3771.54</v>
      </c>
      <c r="L298" s="29">
        <f>L104</f>
        <v>3771.54</v>
      </c>
      <c r="M298" s="29">
        <f>M104</f>
        <v>3771.54</v>
      </c>
      <c r="N298" s="29">
        <f>N104</f>
        <v>3771.54</v>
      </c>
      <c r="O298" s="29">
        <f>O104</f>
        <v>3771.54</v>
      </c>
      <c r="P298" s="29">
        <f>P104</f>
        <v>3771.54</v>
      </c>
      <c r="Q298" s="29">
        <f>Q104</f>
        <v>3771.54</v>
      </c>
      <c r="R298" s="29">
        <f>R104</f>
        <v>3771.54</v>
      </c>
      <c r="S298" s="29">
        <f>S104</f>
        <v>3771.54</v>
      </c>
      <c r="T298" s="29">
        <f>T104</f>
        <v>3771.54</v>
      </c>
      <c r="U298" s="29">
        <f>U104</f>
        <v>3771.54</v>
      </c>
      <c r="V298" s="29">
        <f>V104</f>
        <v>3771.54</v>
      </c>
      <c r="W298" s="29">
        <f>W104</f>
        <v>3771.54</v>
      </c>
      <c r="X298" s="29">
        <f>X104</f>
        <v>3771.54</v>
      </c>
      <c r="Y298" s="29">
        <f>Y104</f>
        <v>3771.54</v>
      </c>
      <c r="Z298" s="29">
        <f>Z104</f>
        <v>3771.54</v>
      </c>
      <c r="AA298" s="29">
        <f>AA104</f>
        <v>3771.54</v>
      </c>
    </row>
    <row r="299" ht="15" customHeight="1">
      <c r="A299" s="28" t="inlineStr">
        <is>
          <t>Gross Property &amp; Equipment</t>
        </is>
      </c>
      <c r="B299" s="22">
        <f>B103+B104</f>
        <v>12754.389999999999</v>
      </c>
      <c r="C299" s="22">
        <f>C103+C104</f>
        <v>12754.389999999999</v>
      </c>
      <c r="D299" s="22">
        <f>D103+D104</f>
        <v>12754.389999999999</v>
      </c>
      <c r="E299" s="22">
        <f>E103+E104</f>
        <v>12754.389999999999</v>
      </c>
      <c r="F299" s="22">
        <f>F103+F104</f>
        <v>12754.389999999999</v>
      </c>
      <c r="G299" s="22">
        <f>G103+G104</f>
        <v>12754.389999999999</v>
      </c>
      <c r="H299" s="22">
        <f>H103+H104</f>
        <v>12754.389999999999</v>
      </c>
      <c r="I299" s="22">
        <f>I103+I104</f>
        <v>12754.389999999999</v>
      </c>
      <c r="J299" s="22">
        <f>J103+J104</f>
        <v>12754.389999999999</v>
      </c>
      <c r="K299" s="22">
        <f>K103+K104</f>
        <v>12754.389999999999</v>
      </c>
      <c r="L299" s="22">
        <f>L103+L104</f>
        <v>12754.389999999999</v>
      </c>
      <c r="M299" s="22">
        <f>M103+M104</f>
        <v>12754.389999999999</v>
      </c>
      <c r="N299" s="22">
        <f>N103+N104</f>
        <v>12754.389999999999</v>
      </c>
      <c r="O299" s="22">
        <f>O103+O104</f>
        <v>12754.389999999999</v>
      </c>
      <c r="P299" s="22">
        <f>P103+P104</f>
        <v>12754.389999999999</v>
      </c>
      <c r="Q299" s="22">
        <f>Q103+Q104</f>
        <v>12754.389999999999</v>
      </c>
      <c r="R299" s="22">
        <f>R103+R104</f>
        <v>12754.389999999999</v>
      </c>
      <c r="S299" s="22">
        <f>S103+S104</f>
        <v>12754.389999999999</v>
      </c>
      <c r="T299" s="22">
        <f>T103+T104</f>
        <v>12754.389999999999</v>
      </c>
      <c r="U299" s="22">
        <f>U103+U104</f>
        <v>12754.389999999999</v>
      </c>
      <c r="V299" s="22">
        <f>V103+V104</f>
        <v>12754.389999999999</v>
      </c>
      <c r="W299" s="22">
        <f>W103+W104</f>
        <v>12754.389999999999</v>
      </c>
      <c r="X299" s="22">
        <f>X103+X104</f>
        <v>12754.389999999999</v>
      </c>
      <c r="Y299" s="22">
        <f>Y103+Y104</f>
        <v>12754.389999999999</v>
      </c>
      <c r="Z299" s="22">
        <f>Z103+Z104</f>
        <v>12754.389999999999</v>
      </c>
      <c r="AA299" s="22">
        <f>AA103+AA104</f>
        <v>12754.389999999999</v>
      </c>
    </row>
    <row r="300" ht="15" customHeight="1">
      <c r="A300" s="27" t="inlineStr">
        <is>
          <t>Additions (MoM)</t>
        </is>
      </c>
      <c r="C300" s="29">
        <f>C299-B299</f>
        <v>0</v>
      </c>
      <c r="D300" s="29">
        <f>D299-C299</f>
        <v>0</v>
      </c>
      <c r="E300" s="29">
        <f>E299-D299</f>
        <v>0</v>
      </c>
      <c r="F300" s="29">
        <f>F299-E299</f>
        <v>0</v>
      </c>
      <c r="G300" s="29">
        <f>G299-F299</f>
        <v>0</v>
      </c>
      <c r="H300" s="29">
        <f>H299-G299</f>
        <v>0</v>
      </c>
      <c r="I300" s="29">
        <f>I299-H299</f>
        <v>0</v>
      </c>
      <c r="J300" s="29">
        <f>J299-I299</f>
        <v>0</v>
      </c>
      <c r="K300" s="29">
        <f>K299-J299</f>
        <v>0</v>
      </c>
      <c r="L300" s="29">
        <f>L299-K299</f>
        <v>0</v>
      </c>
      <c r="M300" s="29">
        <f>M299-L299</f>
        <v>0</v>
      </c>
      <c r="N300" s="29">
        <f>N299-M299</f>
        <v>0</v>
      </c>
      <c r="O300" s="29">
        <f>O299-N299</f>
        <v>0</v>
      </c>
      <c r="P300" s="29">
        <f>P299-O299</f>
        <v>0</v>
      </c>
      <c r="Q300" s="29">
        <f>Q299-P299</f>
        <v>0</v>
      </c>
      <c r="R300" s="29">
        <f>R299-Q299</f>
        <v>0</v>
      </c>
      <c r="S300" s="29">
        <f>S299-R299</f>
        <v>0</v>
      </c>
      <c r="T300" s="29">
        <f>T299-S299</f>
        <v>0</v>
      </c>
      <c r="U300" s="29">
        <f>U299-T299</f>
        <v>0</v>
      </c>
      <c r="V300" s="29">
        <f>V299-U299</f>
        <v>0</v>
      </c>
      <c r="W300" s="29">
        <f>W299-V299</f>
        <v>0</v>
      </c>
      <c r="X300" s="29">
        <f>X299-W299</f>
        <v>0</v>
      </c>
      <c r="Y300" s="29">
        <f>Y299-X299</f>
        <v>0</v>
      </c>
      <c r="Z300" s="29">
        <f>Z299-Y299</f>
        <v>0</v>
      </c>
      <c r="AA300" s="29">
        <f>AA299-Z299</f>
        <v>0</v>
      </c>
    </row>
    <row r="301" ht="15" customHeight="1">
      <c r="A301" s="27" t="inlineStr">
        <is>
          <t>Accumulated Depreciation</t>
        </is>
      </c>
      <c r="B301" s="29">
        <f>B105</f>
        <v>-12754.389999999999</v>
      </c>
      <c r="C301" s="29">
        <f>C105</f>
        <v>-12754.389999999999</v>
      </c>
      <c r="D301" s="29">
        <f>D105</f>
        <v>-12754.389999999999</v>
      </c>
      <c r="E301" s="29">
        <f>E105</f>
        <v>-12754.389999999999</v>
      </c>
      <c r="F301" s="29">
        <f>F105</f>
        <v>-12754.389999999999</v>
      </c>
      <c r="G301" s="29">
        <f>G105</f>
        <v>-12754.389999999999</v>
      </c>
      <c r="H301" s="29">
        <f>H105</f>
        <v>-12754.389999999999</v>
      </c>
      <c r="I301" s="29">
        <f>I105</f>
        <v>-12754.389999999999</v>
      </c>
      <c r="J301" s="29">
        <f>J105</f>
        <v>-12754.389999999999</v>
      </c>
      <c r="K301" s="29">
        <f>K105</f>
        <v>-12754.389999999999</v>
      </c>
      <c r="L301" s="29">
        <f>L105</f>
        <v>-12754.389999999999</v>
      </c>
      <c r="M301" s="29">
        <f>M105</f>
        <v>-12754.389999999999</v>
      </c>
      <c r="N301" s="29">
        <f>N105</f>
        <v>-12754.389999999999</v>
      </c>
      <c r="O301" s="29">
        <f>O105</f>
        <v>-12754.389999999999</v>
      </c>
      <c r="P301" s="29">
        <f>P105</f>
        <v>-12754.389999999999</v>
      </c>
      <c r="Q301" s="29">
        <f>Q105</f>
        <v>-12754.389999999999</v>
      </c>
      <c r="R301" s="29">
        <f>R105</f>
        <v>-12754.389999999999</v>
      </c>
      <c r="S301" s="29">
        <f>S105</f>
        <v>-12754.389999999999</v>
      </c>
      <c r="T301" s="29">
        <f>T105</f>
        <v>-12754.389999999999</v>
      </c>
      <c r="U301" s="29">
        <f>U105</f>
        <v>-12754.389999999999</v>
      </c>
      <c r="V301" s="29">
        <f>V105</f>
        <v>-12754.389999999999</v>
      </c>
      <c r="W301" s="29">
        <f>W105</f>
        <v>-12754.389999999999</v>
      </c>
      <c r="X301" s="29">
        <f>X105</f>
        <v>-12754.389999999999</v>
      </c>
      <c r="Y301" s="29">
        <f>Y105</f>
        <v>-12754.389999999999</v>
      </c>
      <c r="Z301" s="29">
        <f>Z105</f>
        <v>-12754.389999999999</v>
      </c>
      <c r="AA301" s="29">
        <f>AA105</f>
        <v>-12754.389999999999</v>
      </c>
    </row>
    <row r="302" ht="15" customHeight="1">
      <c r="A302" s="27" t="inlineStr">
        <is>
          <t>Depreciation Expense (MoM)</t>
        </is>
      </c>
      <c r="C302" s="29">
        <f>-(C105-B105)</f>
        <v>0</v>
      </c>
      <c r="D302" s="29">
        <f>-(D105-C105)</f>
        <v>0</v>
      </c>
      <c r="E302" s="29">
        <f>-(E105-D105)</f>
        <v>0</v>
      </c>
      <c r="F302" s="29">
        <f>-(F105-E105)</f>
        <v>0</v>
      </c>
      <c r="G302" s="29">
        <f>-(G105-F105)</f>
        <v>0</v>
      </c>
      <c r="H302" s="29">
        <f>-(H105-G105)</f>
        <v>0</v>
      </c>
      <c r="I302" s="29">
        <f>-(I105-H105)</f>
        <v>0</v>
      </c>
      <c r="J302" s="29">
        <f>-(J105-I105)</f>
        <v>0</v>
      </c>
      <c r="K302" s="29">
        <f>-(K105-J105)</f>
        <v>0</v>
      </c>
      <c r="L302" s="29">
        <f>-(L105-K105)</f>
        <v>0</v>
      </c>
      <c r="M302" s="29">
        <f>-(M105-L105)</f>
        <v>0</v>
      </c>
      <c r="N302" s="29">
        <f>-(N105-M105)</f>
        <v>0</v>
      </c>
      <c r="O302" s="29">
        <f>-(O105-N105)</f>
        <v>0</v>
      </c>
      <c r="P302" s="29">
        <f>-(P105-O105)</f>
        <v>0</v>
      </c>
      <c r="Q302" s="29">
        <f>-(Q105-P105)</f>
        <v>0</v>
      </c>
      <c r="R302" s="29">
        <f>-(R105-Q105)</f>
        <v>0</v>
      </c>
      <c r="S302" s="29">
        <f>-(S105-R105)</f>
        <v>0</v>
      </c>
      <c r="T302" s="29">
        <f>-(T105-S105)</f>
        <v>0</v>
      </c>
      <c r="U302" s="29">
        <f>-(U105-T105)</f>
        <v>0</v>
      </c>
      <c r="V302" s="29">
        <f>-(V105-U105)</f>
        <v>0</v>
      </c>
      <c r="W302" s="29">
        <f>-(W105-V105)</f>
        <v>0</v>
      </c>
      <c r="X302" s="29">
        <f>-(X105-W105)</f>
        <v>0</v>
      </c>
      <c r="Y302" s="29">
        <f>-(Y105-X105)</f>
        <v>0</v>
      </c>
      <c r="Z302" s="29">
        <f>-(Z105-Y105)</f>
        <v>0</v>
      </c>
      <c r="AA302" s="29">
        <f>-(AA105-Z105)</f>
        <v>0</v>
      </c>
    </row>
    <row r="303" ht="15" customHeight="1">
      <c r="A303" s="28" t="inlineStr">
        <is>
          <t>Net Book Value</t>
        </is>
      </c>
      <c r="B303" s="22">
        <f>B299+B105</f>
        <v>0</v>
      </c>
      <c r="C303" s="22">
        <f>C299+C105</f>
        <v>0</v>
      </c>
      <c r="D303" s="22">
        <f>D299+D105</f>
        <v>0</v>
      </c>
      <c r="E303" s="22">
        <f>E299+E105</f>
        <v>0</v>
      </c>
      <c r="F303" s="22">
        <f>F299+F105</f>
        <v>0</v>
      </c>
      <c r="G303" s="22">
        <f>G299+G105</f>
        <v>0</v>
      </c>
      <c r="H303" s="22">
        <f>H299+H105</f>
        <v>0</v>
      </c>
      <c r="I303" s="22">
        <f>I299+I105</f>
        <v>0</v>
      </c>
      <c r="J303" s="22">
        <f>J299+J105</f>
        <v>0</v>
      </c>
      <c r="K303" s="22">
        <f>K299+K105</f>
        <v>0</v>
      </c>
      <c r="L303" s="22">
        <f>L299+L105</f>
        <v>0</v>
      </c>
      <c r="M303" s="22">
        <f>M299+M105</f>
        <v>0</v>
      </c>
      <c r="N303" s="22">
        <f>N299+N105</f>
        <v>0</v>
      </c>
      <c r="O303" s="22">
        <f>O299+O105</f>
        <v>0</v>
      </c>
      <c r="P303" s="22">
        <f>P299+P105</f>
        <v>0</v>
      </c>
      <c r="Q303" s="22">
        <f>Q299+Q105</f>
        <v>0</v>
      </c>
      <c r="R303" s="22">
        <f>R299+R105</f>
        <v>0</v>
      </c>
      <c r="S303" s="22">
        <f>S299+S105</f>
        <v>0</v>
      </c>
      <c r="T303" s="22">
        <f>T299+T105</f>
        <v>0</v>
      </c>
      <c r="U303" s="22">
        <f>U299+U105</f>
        <v>0</v>
      </c>
      <c r="V303" s="22">
        <f>V299+V105</f>
        <v>0</v>
      </c>
      <c r="W303" s="22">
        <f>W299+W105</f>
        <v>0</v>
      </c>
      <c r="X303" s="22">
        <f>X299+X105</f>
        <v>0</v>
      </c>
      <c r="Y303" s="22">
        <f>Y299+Y105</f>
        <v>0</v>
      </c>
      <c r="Z303" s="22">
        <f>Z299+Z105</f>
        <v>0</v>
      </c>
      <c r="AA303" s="22">
        <f>AA299+AA105</f>
        <v>0</v>
      </c>
    </row>
    <row r="304" ht="15" customHeight="1">
      <c r="A304" s="27" t="inlineStr">
        <is>
          <t>Security Deposit</t>
        </is>
      </c>
      <c r="B304" s="29">
        <f>B106</f>
        <v>807.40999999999997</v>
      </c>
      <c r="C304" s="29">
        <f>C106</f>
        <v>807.40999999999997</v>
      </c>
      <c r="D304" s="29">
        <f>D106</f>
        <v>807.40999999999997</v>
      </c>
      <c r="E304" s="29">
        <f>E106</f>
        <v>807.40999999999997</v>
      </c>
      <c r="F304" s="29">
        <f>F106</f>
        <v>807.40999999999997</v>
      </c>
      <c r="G304" s="29">
        <f>G106</f>
        <v>807.40999999999997</v>
      </c>
      <c r="H304" s="29">
        <f>H106</f>
        <v>807.40999999999997</v>
      </c>
      <c r="I304" s="29">
        <f>I106</f>
        <v>807.40999999999997</v>
      </c>
      <c r="J304" s="29">
        <f>J106</f>
        <v>807.40999999999997</v>
      </c>
      <c r="K304" s="29">
        <f>K106</f>
        <v>807.40999999999997</v>
      </c>
      <c r="L304" s="29">
        <f>L106</f>
        <v>807.40999999999997</v>
      </c>
      <c r="M304" s="29">
        <f>M106</f>
        <v>807.40999999999997</v>
      </c>
      <c r="N304" s="29">
        <f>N106</f>
        <v>807.40999999999997</v>
      </c>
      <c r="O304" s="29">
        <f>O106</f>
        <v>807.40999999999997</v>
      </c>
      <c r="P304" s="29">
        <f>P106</f>
        <v>0</v>
      </c>
      <c r="Q304" s="29">
        <f>Q106</f>
        <v>0</v>
      </c>
      <c r="R304" s="29">
        <f>R106</f>
        <v>0</v>
      </c>
      <c r="S304" s="29">
        <f>S106</f>
        <v>0</v>
      </c>
      <c r="T304" s="29">
        <f>T106</f>
        <v>0</v>
      </c>
      <c r="U304" s="29">
        <f>U106</f>
        <v>0</v>
      </c>
      <c r="V304" s="29">
        <f>V106</f>
        <v>0</v>
      </c>
      <c r="W304" s="29">
        <f>W106</f>
        <v>0</v>
      </c>
      <c r="X304" s="29">
        <f>X106</f>
        <v>0</v>
      </c>
      <c r="Y304" s="29">
        <f>Y106</f>
        <v>0</v>
      </c>
      <c r="Z304" s="29">
        <f>Z106</f>
        <v>0</v>
      </c>
      <c r="AA304" s="29">
        <f>AA106</f>
        <v>0</v>
      </c>
    </row>
    <row r="305" ht="15" customHeight="1">
      <c r="A305" s="28" t="inlineStr">
        <is>
          <t>Total Non-Current Assets</t>
        </is>
      </c>
      <c r="B305" s="30">
        <f>B303+B106</f>
        <v>807.40999999999997</v>
      </c>
      <c r="C305" s="30">
        <f>C303+C106</f>
        <v>807.40999999999997</v>
      </c>
      <c r="D305" s="30">
        <f>D303+D106</f>
        <v>807.40999999999997</v>
      </c>
      <c r="E305" s="30">
        <f>E303+E106</f>
        <v>807.40999999999997</v>
      </c>
      <c r="F305" s="30">
        <f>F303+F106</f>
        <v>807.40999999999997</v>
      </c>
      <c r="G305" s="30">
        <f>G303+G106</f>
        <v>807.40999999999997</v>
      </c>
      <c r="H305" s="30">
        <f>H303+H106</f>
        <v>807.40999999999997</v>
      </c>
      <c r="I305" s="30">
        <f>I303+I106</f>
        <v>807.40999999999997</v>
      </c>
      <c r="J305" s="30">
        <f>J303+J106</f>
        <v>807.40999999999997</v>
      </c>
      <c r="K305" s="30">
        <f>K303+K106</f>
        <v>807.40999999999997</v>
      </c>
      <c r="L305" s="30">
        <f>L303+L106</f>
        <v>807.40999999999997</v>
      </c>
      <c r="M305" s="30">
        <f>M303+M106</f>
        <v>807.40999999999997</v>
      </c>
      <c r="N305" s="30">
        <f>N303+N106</f>
        <v>807.40999999999997</v>
      </c>
      <c r="O305" s="30">
        <f>O303+O106</f>
        <v>807.40999999999997</v>
      </c>
      <c r="P305" s="30">
        <f>P303+P106</f>
        <v>0</v>
      </c>
      <c r="Q305" s="30">
        <f>Q303+Q106</f>
        <v>0</v>
      </c>
      <c r="R305" s="30">
        <f>R303+R106</f>
        <v>0</v>
      </c>
      <c r="S305" s="30">
        <f>S303+S106</f>
        <v>0</v>
      </c>
      <c r="T305" s="30">
        <f>T303+T106</f>
        <v>0</v>
      </c>
      <c r="U305" s="30">
        <f>U303+U106</f>
        <v>0</v>
      </c>
      <c r="V305" s="30">
        <f>V303+V106</f>
        <v>0</v>
      </c>
      <c r="W305" s="30">
        <f>W303+W106</f>
        <v>0</v>
      </c>
      <c r="X305" s="30">
        <f>X303+X106</f>
        <v>0</v>
      </c>
      <c r="Y305" s="30">
        <f>Y303+Y106</f>
        <v>0</v>
      </c>
      <c r="Z305" s="30">
        <f>Z303+Z106</f>
        <v>0</v>
      </c>
      <c r="AA305" s="30">
        <f>AA303+AA106</f>
        <v>0</v>
      </c>
    </row>
    <row r="307" ht="15" customHeight="1">
      <c r="A307" s="2" t="inlineStr">
        <is>
          <t>Schedule 9 — Current Liabilities</t>
        </is>
      </c>
    </row>
    <row r="308" ht="21.75" customHeight="1">
      <c r="B308" s="17" t="inlineStr">
        <is>
          <t>TB 5/31/24</t>
        </is>
      </c>
      <c r="C308" s="18" t="inlineStr">
        <is>
          <t>Jun-24</t>
        </is>
      </c>
      <c r="D308" s="18" t="inlineStr">
        <is>
          <t>Jul-24</t>
        </is>
      </c>
      <c r="E308" s="18" t="inlineStr">
        <is>
          <t>Aug-24</t>
        </is>
      </c>
      <c r="F308" s="18" t="inlineStr">
        <is>
          <t>Sep-24</t>
        </is>
      </c>
      <c r="G308" s="18" t="inlineStr">
        <is>
          <t>Oct-24</t>
        </is>
      </c>
      <c r="H308" s="18" t="inlineStr">
        <is>
          <t>Nov-24</t>
        </is>
      </c>
      <c r="I308" s="18" t="inlineStr">
        <is>
          <t>Dec-24</t>
        </is>
      </c>
      <c r="J308" s="18" t="inlineStr">
        <is>
          <t>Jan-25</t>
        </is>
      </c>
      <c r="K308" s="18" t="inlineStr">
        <is>
          <t>Feb-25</t>
        </is>
      </c>
      <c r="L308" s="18" t="inlineStr">
        <is>
          <t>Mar-25</t>
        </is>
      </c>
      <c r="M308" s="18" t="inlineStr">
        <is>
          <t>Apr-25</t>
        </is>
      </c>
      <c r="N308" s="18" t="inlineStr">
        <is>
          <t>May-25</t>
        </is>
      </c>
      <c r="O308" s="18" t="inlineStr">
        <is>
          <t>Jun-25</t>
        </is>
      </c>
      <c r="P308" s="18" t="inlineStr">
        <is>
          <t>Jul-25</t>
        </is>
      </c>
      <c r="Q308" s="18" t="inlineStr">
        <is>
          <t>Aug-25</t>
        </is>
      </c>
      <c r="R308" s="18" t="inlineStr">
        <is>
          <t>Sep-25</t>
        </is>
      </c>
      <c r="S308" s="18" t="inlineStr">
        <is>
          <t>Oct-25</t>
        </is>
      </c>
      <c r="T308" s="18" t="inlineStr">
        <is>
          <t>Nov-25</t>
        </is>
      </c>
      <c r="U308" s="18" t="inlineStr">
        <is>
          <t>Dec-25</t>
        </is>
      </c>
      <c r="V308" s="18" t="inlineStr">
        <is>
          <t>Jan-26</t>
        </is>
      </c>
      <c r="W308" s="18" t="inlineStr">
        <is>
          <t>Feb-26</t>
        </is>
      </c>
      <c r="X308" s="18" t="inlineStr">
        <is>
          <t>Mar-26</t>
        </is>
      </c>
      <c r="Y308" s="18" t="inlineStr">
        <is>
          <t>Apr-26</t>
        </is>
      </c>
      <c r="Z308" s="18" t="inlineStr">
        <is>
          <t>May-26</t>
        </is>
      </c>
      <c r="AA308" s="18" t="inlineStr">
        <is>
          <t>Jun-26</t>
        </is>
      </c>
    </row>
    <row r="309" ht="15" customHeight="1">
      <c r="A309" s="27" t="inlineStr">
        <is>
          <t>AMEX Credit Card</t>
        </is>
      </c>
      <c r="B309" s="29">
        <f>B111</f>
        <v>1252.3</v>
      </c>
      <c r="C309" s="29">
        <f>C111</f>
        <v>1393.21</v>
      </c>
      <c r="D309" s="29">
        <f>D111</f>
        <v>1969.95</v>
      </c>
      <c r="E309" s="29">
        <f>E111</f>
        <v>2014.75</v>
      </c>
      <c r="F309" s="29">
        <f>F111</f>
        <v>1697.76</v>
      </c>
      <c r="G309" s="29">
        <f>G111</f>
        <v>1257.9400000000001</v>
      </c>
      <c r="H309" s="29">
        <f>H111</f>
        <v>1820.8499999999999</v>
      </c>
      <c r="I309" s="29">
        <f>I111</f>
        <v>2370.2799999999997</v>
      </c>
      <c r="J309" s="29">
        <f>J111</f>
        <v>1794.0799999999997</v>
      </c>
      <c r="K309" s="29">
        <f>K111</f>
        <v>1434.1199999999997</v>
      </c>
      <c r="L309" s="29">
        <f>L111</f>
        <v>1240.1699999999996</v>
      </c>
      <c r="M309" s="29">
        <f>M111</f>
        <v>1072.2599999999995</v>
      </c>
      <c r="N309" s="29">
        <f>N111</f>
        <v>1021.8399999999996</v>
      </c>
      <c r="O309" s="29">
        <f>O111</f>
        <v>2059.0799999999995</v>
      </c>
      <c r="P309" s="29">
        <f>P111</f>
        <v>1205.6799999999994</v>
      </c>
      <c r="Q309" s="29">
        <f>Q111</f>
        <v>976.14999999999941</v>
      </c>
      <c r="R309" s="29">
        <f>R111</f>
        <v>3116.619999999999</v>
      </c>
      <c r="S309" s="29">
        <f>S111</f>
        <v>4340.6699999999992</v>
      </c>
      <c r="T309" s="29">
        <f>T111</f>
        <v>1896.6599999999989</v>
      </c>
      <c r="U309" s="29">
        <f>U111</f>
        <v>1486.329999999999</v>
      </c>
      <c r="V309" s="29">
        <f>V111</f>
        <v>3980.349999999999</v>
      </c>
      <c r="W309" s="29">
        <f>W111</f>
        <v>5259.5899999999992</v>
      </c>
      <c r="X309" s="29">
        <f>X111</f>
        <v>703.35999999999967</v>
      </c>
      <c r="Y309" s="29">
        <f>Y111</f>
        <v>1078.1799999999996</v>
      </c>
      <c r="Z309" s="29">
        <f>Z111</f>
        <v>1087.6299999999997</v>
      </c>
      <c r="AA309" s="29">
        <f>AA111</f>
        <v>1132.3299999999997</v>
      </c>
    </row>
    <row r="310" ht="15" customHeight="1">
      <c r="A310" s="27" t="inlineStr">
        <is>
          <t>Amex Delta Credit Card</t>
        </is>
      </c>
      <c r="B310" s="29">
        <f>B112</f>
        <v>14166</v>
      </c>
      <c r="C310" s="29">
        <f>C112</f>
        <v>16599.239999999998</v>
      </c>
      <c r="D310" s="29">
        <f>D112</f>
        <v>11108.609999999997</v>
      </c>
      <c r="E310" s="29">
        <f>E112</f>
        <v>9046.3499999999967</v>
      </c>
      <c r="F310" s="29">
        <f>F112</f>
        <v>7009.6499999999969</v>
      </c>
      <c r="G310" s="29">
        <f>G112</f>
        <v>7235.819999999997</v>
      </c>
      <c r="H310" s="29">
        <f>H112</f>
        <v>7294.029999999997</v>
      </c>
      <c r="I310" s="29">
        <f>I112</f>
        <v>7471.4699999999966</v>
      </c>
      <c r="J310" s="29">
        <f>J112</f>
        <v>10003.739999999996</v>
      </c>
      <c r="K310" s="29">
        <f>K112</f>
        <v>9901.4999999999964</v>
      </c>
      <c r="L310" s="29">
        <f>L112</f>
        <v>11915.859999999997</v>
      </c>
      <c r="M310" s="29">
        <f>M112</f>
        <v>11836.189999999997</v>
      </c>
      <c r="N310" s="29">
        <f>N112</f>
        <v>11825.879999999997</v>
      </c>
      <c r="O310" s="29">
        <f>O112</f>
        <v>9072.8899999999976</v>
      </c>
      <c r="P310" s="29">
        <f>P112</f>
        <v>8782.0799999999981</v>
      </c>
      <c r="Q310" s="29">
        <f>Q112</f>
        <v>4719.7599999999984</v>
      </c>
      <c r="R310" s="29">
        <f>R112</f>
        <v>1630.7699999999986</v>
      </c>
      <c r="S310" s="29">
        <f>S112</f>
        <v>1414.7899999999986</v>
      </c>
      <c r="T310" s="29">
        <f>T112</f>
        <v>1246.1399999999985</v>
      </c>
      <c r="U310" s="29">
        <f>U112</f>
        <v>1882.1199999999985</v>
      </c>
      <c r="V310" s="29">
        <f>V112</f>
        <v>4254.0799999999981</v>
      </c>
      <c r="W310" s="29">
        <f>W112</f>
        <v>1313.3099999999981</v>
      </c>
      <c r="X310" s="29">
        <f>X112</f>
        <v>1214.5299999999982</v>
      </c>
      <c r="Y310" s="29">
        <f>Y112</f>
        <v>1276.6099999999981</v>
      </c>
      <c r="Z310" s="29">
        <f>Z112</f>
        <v>1132.8599999999981</v>
      </c>
      <c r="AA310" s="29">
        <f>AA112</f>
        <v>2062.3699999999981</v>
      </c>
    </row>
    <row r="311" ht="15" customHeight="1">
      <c r="A311" s="27" t="inlineStr">
        <is>
          <t>Chase Credit Card 4 (1892)</t>
        </is>
      </c>
      <c r="B311" s="29">
        <f>B113</f>
        <v>1889.3</v>
      </c>
      <c r="C311" s="29">
        <f>C113</f>
        <v>1435.5699999999999</v>
      </c>
      <c r="D311" s="29">
        <f>D113</f>
        <v>1510.74</v>
      </c>
      <c r="E311" s="29">
        <f>E113</f>
        <v>1954.96</v>
      </c>
      <c r="F311" s="29">
        <f>F113</f>
        <v>2442.8699999999999</v>
      </c>
      <c r="G311" s="29">
        <f>G113</f>
        <v>5536.54</v>
      </c>
      <c r="H311" s="29">
        <f>H113</f>
        <v>3403.1700000000001</v>
      </c>
      <c r="I311" s="29">
        <f>I113</f>
        <v>5834.6900000000005</v>
      </c>
      <c r="J311" s="29">
        <f>J113</f>
        <v>8197.1200000000008</v>
      </c>
      <c r="K311" s="29">
        <f>K113</f>
        <v>8610.7000000000007</v>
      </c>
      <c r="L311" s="29">
        <f>L113</f>
        <v>8579.1700000000001</v>
      </c>
      <c r="M311" s="29">
        <f>M113</f>
        <v>6845.3600000000006</v>
      </c>
      <c r="N311" s="29">
        <f>N113</f>
        <v>7568.0300000000007</v>
      </c>
      <c r="O311" s="29">
        <f>O113</f>
        <v>7081.670000000001</v>
      </c>
      <c r="P311" s="29">
        <f>P113</f>
        <v>5554.6600000000008</v>
      </c>
      <c r="Q311" s="29">
        <f>Q113</f>
        <v>802.30000000000109</v>
      </c>
      <c r="R311" s="29">
        <f>R113</f>
        <v>1451.7600000000011</v>
      </c>
      <c r="S311" s="29">
        <f>S113</f>
        <v>2055.8900000000012</v>
      </c>
      <c r="T311" s="29">
        <f>T113</f>
        <v>846.5700000000013</v>
      </c>
      <c r="U311" s="29">
        <f>U113</f>
        <v>1810.3800000000012</v>
      </c>
      <c r="V311" s="29">
        <f>V113</f>
        <v>881.71000000000129</v>
      </c>
      <c r="W311" s="29">
        <f>W113</f>
        <v>1049.8500000000013</v>
      </c>
      <c r="X311" s="29">
        <f>X113</f>
        <v>941.12000000000126</v>
      </c>
      <c r="Y311" s="29">
        <f>Y113</f>
        <v>1470.8100000000013</v>
      </c>
      <c r="Z311" s="29">
        <f>Z113</f>
        <v>1090.6300000000012</v>
      </c>
      <c r="AA311" s="29">
        <f>AA113</f>
        <v>1740.1300000000012</v>
      </c>
    </row>
    <row r="312" ht="15" customHeight="1">
      <c r="A312" s="28" t="inlineStr">
        <is>
          <t>Total Credit Cards</t>
        </is>
      </c>
      <c r="B312" s="22">
        <f>SUM(B309:B311)</f>
        <v>17307.599999999999</v>
      </c>
      <c r="C312" s="22">
        <f>SUM(C309:C311)</f>
        <v>19428.019999999997</v>
      </c>
      <c r="D312" s="22">
        <f>SUM(D309:D311)</f>
        <v>14589.299999999997</v>
      </c>
      <c r="E312" s="22">
        <f>SUM(E309:E311)</f>
        <v>13016.059999999998</v>
      </c>
      <c r="F312" s="22">
        <f>SUM(F309:F311)</f>
        <v>11150.279999999995</v>
      </c>
      <c r="G312" s="22">
        <f>SUM(G309:G311)</f>
        <v>14030.299999999996</v>
      </c>
      <c r="H312" s="22">
        <f>SUM(H309:H311)</f>
        <v>12518.049999999997</v>
      </c>
      <c r="I312" s="22">
        <f>SUM(I309:I311)</f>
        <v>15676.439999999997</v>
      </c>
      <c r="J312" s="22">
        <f>SUM(J309:J311)</f>
        <v>19994.939999999995</v>
      </c>
      <c r="K312" s="22">
        <f>SUM(K309:K311)</f>
        <v>19946.319999999996</v>
      </c>
      <c r="L312" s="22">
        <f>SUM(L309:L311)</f>
        <v>21735.199999999997</v>
      </c>
      <c r="M312" s="22">
        <f>SUM(M309:M311)</f>
        <v>19753.809999999998</v>
      </c>
      <c r="N312" s="22">
        <f>SUM(N309:N311)</f>
        <v>20415.75</v>
      </c>
      <c r="O312" s="22">
        <f>SUM(O309:O311)</f>
        <v>18213.639999999999</v>
      </c>
      <c r="P312" s="22">
        <f>SUM(P309:P311)</f>
        <v>15542.419999999998</v>
      </c>
      <c r="Q312" s="22">
        <f>SUM(Q309:Q311)</f>
        <v>6498.2099999999991</v>
      </c>
      <c r="R312" s="22">
        <f>SUM(R309:R311)</f>
        <v>6199.1499999999987</v>
      </c>
      <c r="S312" s="22">
        <f>SUM(S309:S311)</f>
        <v>7811.3499999999985</v>
      </c>
      <c r="T312" s="22">
        <f>SUM(T309:T311)</f>
        <v>3989.369999999999</v>
      </c>
      <c r="U312" s="22">
        <f>SUM(U309:U311)</f>
        <v>5178.829999999999</v>
      </c>
      <c r="V312" s="22">
        <f>SUM(V309:V311)</f>
        <v>9116.1399999999976</v>
      </c>
      <c r="W312" s="22">
        <f>SUM(W309:W311)</f>
        <v>7622.7499999999991</v>
      </c>
      <c r="X312" s="22">
        <f>SUM(X309:X311)</f>
        <v>2859.0099999999993</v>
      </c>
      <c r="Y312" s="22">
        <f>SUM(Y309:Y311)</f>
        <v>3825.599999999999</v>
      </c>
      <c r="Z312" s="22">
        <f>SUM(Z309:Z311)</f>
        <v>3311.119999999999</v>
      </c>
      <c r="AA312" s="22">
        <f>SUM(AA309:AA311)</f>
        <v>4934.829999999999</v>
      </c>
    </row>
    <row r="313" ht="15" customHeight="1">
      <c r="A313" s="27" t="inlineStr">
        <is>
          <t>Net Movement in Credit Cards (MoM)</t>
        </is>
      </c>
      <c r="C313" s="29">
        <f>C312-B312</f>
        <v>2120.4199999999983</v>
      </c>
      <c r="D313" s="29">
        <f>D312-C312</f>
        <v>-4838.7199999999993</v>
      </c>
      <c r="E313" s="29">
        <f>E312-D312</f>
        <v>-1573.2399999999998</v>
      </c>
      <c r="F313" s="29">
        <f>F312-E312</f>
        <v>-1865.7800000000025</v>
      </c>
      <c r="G313" s="29">
        <f>G312-F312</f>
        <v>2880.0200000000004</v>
      </c>
      <c r="H313" s="29">
        <f>H312-G312</f>
        <v>-1512.2499999999982</v>
      </c>
      <c r="I313" s="29">
        <f>I312-H312</f>
        <v>3158.3899999999994</v>
      </c>
      <c r="J313" s="29">
        <f>J312-I312</f>
        <v>4318.4999999999982</v>
      </c>
      <c r="K313" s="29">
        <f>K312-J312</f>
        <v>-48.619999999998981</v>
      </c>
      <c r="L313" s="29">
        <f>L312-K312</f>
        <v>1788.880000000001</v>
      </c>
      <c r="M313" s="29">
        <f>M312-L312</f>
        <v>-1981.3899999999994</v>
      </c>
      <c r="N313" s="29">
        <f>N312-M312</f>
        <v>661.94000000000233</v>
      </c>
      <c r="O313" s="29">
        <f>O312-N312</f>
        <v>-2202.1100000000006</v>
      </c>
      <c r="P313" s="29">
        <f>P312-O312</f>
        <v>-2671.2200000000012</v>
      </c>
      <c r="Q313" s="29">
        <f>Q312-P312</f>
        <v>-9044.2099999999991</v>
      </c>
      <c r="R313" s="29">
        <f>R312-Q312</f>
        <v>-299.0600000000004</v>
      </c>
      <c r="S313" s="29">
        <f>S312-R312</f>
        <v>1612.1999999999998</v>
      </c>
      <c r="T313" s="29">
        <f>T312-S312</f>
        <v>-3821.9799999999996</v>
      </c>
      <c r="U313" s="29">
        <f>U312-T312</f>
        <v>1189.46</v>
      </c>
      <c r="V313" s="29">
        <f>V312-U312</f>
        <v>3937.3099999999986</v>
      </c>
      <c r="W313" s="29">
        <f>W312-V312</f>
        <v>-1493.3899999999985</v>
      </c>
      <c r="X313" s="29">
        <f>X312-W312</f>
        <v>-4763.7399999999998</v>
      </c>
      <c r="Y313" s="29">
        <f>Y312-X312</f>
        <v>966.58999999999969</v>
      </c>
      <c r="Z313" s="29">
        <f>Z312-Y312</f>
        <v>-514.48000000000002</v>
      </c>
      <c r="AA313" s="29">
        <f>AA312-Z312</f>
        <v>1623.71</v>
      </c>
    </row>
    <row r="314" ht="15" customHeight="1">
      <c r="A314" s="27" t="inlineStr">
        <is>
          <t>Ohio Dept. of Taxation Payable</t>
        </is>
      </c>
      <c r="B314" s="29">
        <f>B114</f>
        <v>0</v>
      </c>
      <c r="C314" s="29">
        <f>C114</f>
        <v>0</v>
      </c>
      <c r="D314" s="29">
        <f>D114</f>
        <v>0</v>
      </c>
      <c r="E314" s="29">
        <f>E114</f>
        <v>0</v>
      </c>
      <c r="F314" s="29">
        <f>F114</f>
        <v>0</v>
      </c>
      <c r="G314" s="29">
        <f>G114</f>
        <v>0</v>
      </c>
      <c r="H314" s="29">
        <f>H114</f>
        <v>0</v>
      </c>
      <c r="I314" s="29">
        <f>I114</f>
        <v>0</v>
      </c>
      <c r="J314" s="29">
        <f>J114</f>
        <v>0</v>
      </c>
      <c r="K314" s="29">
        <f>K114</f>
        <v>0</v>
      </c>
      <c r="L314" s="29">
        <f>L114</f>
        <v>0</v>
      </c>
      <c r="M314" s="29">
        <f>M114</f>
        <v>0</v>
      </c>
      <c r="N314" s="29">
        <f>N114</f>
        <v>0</v>
      </c>
      <c r="O314" s="29">
        <f>O114</f>
        <v>0</v>
      </c>
      <c r="P314" s="29">
        <f>P114</f>
        <v>0</v>
      </c>
      <c r="Q314" s="29">
        <f>Q114</f>
        <v>0</v>
      </c>
      <c r="R314" s="29">
        <f>R114</f>
        <v>0</v>
      </c>
      <c r="S314" s="29">
        <f>S114</f>
        <v>0</v>
      </c>
      <c r="T314" s="29">
        <f>T114</f>
        <v>0</v>
      </c>
      <c r="U314" s="29">
        <f>U114</f>
        <v>0</v>
      </c>
      <c r="V314" s="29">
        <f>V114</f>
        <v>0</v>
      </c>
      <c r="W314" s="29">
        <f>W114</f>
        <v>0</v>
      </c>
      <c r="X314" s="29">
        <f>X114</f>
        <v>0</v>
      </c>
      <c r="Y314" s="29">
        <f>Y114</f>
        <v>0</v>
      </c>
      <c r="Z314" s="29">
        <f>Z114</f>
        <v>0</v>
      </c>
      <c r="AA314" s="29">
        <f>AA114</f>
        <v>0</v>
      </c>
    </row>
    <row r="315" ht="15" customHeight="1">
      <c r="A315" s="27" t="inlineStr">
        <is>
          <t>Accrued Retirement</t>
        </is>
      </c>
      <c r="B315" s="29">
        <f>B115</f>
        <v>1289.8800000000001</v>
      </c>
      <c r="C315" s="29">
        <f>C115</f>
        <v>429.96000000000015</v>
      </c>
      <c r="D315" s="29">
        <f>D115</f>
        <v>384.96000000000015</v>
      </c>
      <c r="E315" s="29">
        <f>E115</f>
        <v>339.96000000000015</v>
      </c>
      <c r="F315" s="29">
        <f>F115</f>
        <v>339.96000000000015</v>
      </c>
      <c r="G315" s="29">
        <f>G115</f>
        <v>0</v>
      </c>
      <c r="H315" s="29">
        <f>H115</f>
        <v>339.95999999999998</v>
      </c>
      <c r="I315" s="29">
        <f>I115</f>
        <v>679.91999999999996</v>
      </c>
      <c r="J315" s="29">
        <f>J115</f>
        <v>1019.8799999999999</v>
      </c>
      <c r="K315" s="29">
        <f>K115</f>
        <v>1359.8399999999999</v>
      </c>
      <c r="L315" s="29">
        <f>L115</f>
        <v>1699.8</v>
      </c>
      <c r="M315" s="29">
        <f>M115</f>
        <v>2039.76</v>
      </c>
      <c r="N315" s="29">
        <f>N115</f>
        <v>2379.7199999999998</v>
      </c>
      <c r="O315" s="29">
        <f>O115</f>
        <v>0</v>
      </c>
      <c r="P315" s="29">
        <f>P115</f>
        <v>0</v>
      </c>
      <c r="Q315" s="29">
        <f>Q115</f>
        <v>0</v>
      </c>
      <c r="R315" s="29">
        <f>R115</f>
        <v>339.95999999999998</v>
      </c>
      <c r="S315" s="29">
        <f>S115</f>
        <v>0</v>
      </c>
      <c r="T315" s="29">
        <f>T115</f>
        <v>0</v>
      </c>
      <c r="U315" s="29">
        <f>U115</f>
        <v>0</v>
      </c>
      <c r="V315" s="29">
        <f>V115</f>
        <v>0</v>
      </c>
      <c r="W315" s="29">
        <f>W115</f>
        <v>0</v>
      </c>
      <c r="X315" s="29">
        <f>X115</f>
        <v>0</v>
      </c>
      <c r="Y315" s="29">
        <f>Y115</f>
        <v>0</v>
      </c>
      <c r="Z315" s="29">
        <f>Z115</f>
        <v>0</v>
      </c>
      <c r="AA315" s="29">
        <f>AA115</f>
        <v>0</v>
      </c>
    </row>
    <row r="316" ht="15" customHeight="1">
      <c r="A316" s="27" t="inlineStr">
        <is>
          <t>Christmas Expenses Fund</t>
        </is>
      </c>
      <c r="B316" s="29">
        <f>B116</f>
        <v>0</v>
      </c>
      <c r="C316" s="29">
        <f>C116</f>
        <v>0</v>
      </c>
      <c r="D316" s="29">
        <f>D116</f>
        <v>0</v>
      </c>
      <c r="E316" s="29">
        <f>E116</f>
        <v>357.73000000000002</v>
      </c>
      <c r="F316" s="29">
        <f>F116</f>
        <v>808.29999999999995</v>
      </c>
      <c r="G316" s="29">
        <f>G116</f>
        <v>1242.1399999999999</v>
      </c>
      <c r="H316" s="29">
        <f>H116</f>
        <v>1669.8399999999999</v>
      </c>
      <c r="I316" s="29">
        <f>I116</f>
        <v>0</v>
      </c>
      <c r="J316" s="29">
        <f>J116</f>
        <v>0</v>
      </c>
      <c r="K316" s="29">
        <f>K116</f>
        <v>0</v>
      </c>
      <c r="L316" s="29">
        <f>L116</f>
        <v>0</v>
      </c>
      <c r="M316" s="29">
        <f>M116</f>
        <v>0</v>
      </c>
      <c r="N316" s="29">
        <f>N116</f>
        <v>0</v>
      </c>
      <c r="O316" s="29">
        <f>O116</f>
        <v>0</v>
      </c>
      <c r="P316" s="29">
        <f>P116</f>
        <v>807.40999999999997</v>
      </c>
      <c r="Q316" s="29">
        <f>Q116</f>
        <v>807.40999999999997</v>
      </c>
      <c r="R316" s="29">
        <f>R116</f>
        <v>807.40999999999997</v>
      </c>
      <c r="S316" s="29">
        <f>S116</f>
        <v>807.40999999999997</v>
      </c>
      <c r="T316" s="29">
        <f>T116</f>
        <v>1491.5699999999999</v>
      </c>
      <c r="U316" s="29">
        <f>U116</f>
        <v>0</v>
      </c>
      <c r="V316" s="29">
        <f>V116</f>
        <v>0</v>
      </c>
      <c r="W316" s="29">
        <f>W116</f>
        <v>0</v>
      </c>
      <c r="X316" s="29">
        <f>X116</f>
        <v>0</v>
      </c>
      <c r="Y316" s="29">
        <f>Y116</f>
        <v>0</v>
      </c>
      <c r="Z316" s="29">
        <f>Z116</f>
        <v>0</v>
      </c>
      <c r="AA316" s="29">
        <f>AA116</f>
        <v>0</v>
      </c>
    </row>
    <row r="317" ht="15" customHeight="1">
      <c r="A317" s="27" t="inlineStr">
        <is>
          <t>One Bag, One Love Fund</t>
        </is>
      </c>
      <c r="B317" s="29">
        <f>B117</f>
        <v>61.799999999999997</v>
      </c>
      <c r="C317" s="29">
        <f>C117</f>
        <v>61.799999999999997</v>
      </c>
      <c r="D317" s="29">
        <f>D117</f>
        <v>61.799999999999997</v>
      </c>
      <c r="E317" s="29">
        <f>E117</f>
        <v>61.799999999999997</v>
      </c>
      <c r="F317" s="29">
        <f>F117</f>
        <v>61.799999999999997</v>
      </c>
      <c r="G317" s="29">
        <f>G117</f>
        <v>61.799999999999997</v>
      </c>
      <c r="H317" s="29">
        <f>H117</f>
        <v>61.799999999999997</v>
      </c>
      <c r="I317" s="29">
        <f>I117</f>
        <v>123.59999999999999</v>
      </c>
      <c r="J317" s="29">
        <f>J117</f>
        <v>123.59999999999999</v>
      </c>
      <c r="K317" s="29">
        <f>K117</f>
        <v>123.59999999999999</v>
      </c>
      <c r="L317" s="29">
        <f>L117</f>
        <v>123.59999999999999</v>
      </c>
      <c r="M317" s="29">
        <f>M117</f>
        <v>123.59999999999999</v>
      </c>
      <c r="N317" s="29">
        <f>N117</f>
        <v>123.59999999999999</v>
      </c>
      <c r="O317" s="29">
        <f>O117</f>
        <v>123.59999999999999</v>
      </c>
      <c r="P317" s="29">
        <f>P117</f>
        <v>123.59999999999999</v>
      </c>
      <c r="Q317" s="29">
        <f>Q117</f>
        <v>123.59999999999999</v>
      </c>
      <c r="R317" s="29">
        <f>R117</f>
        <v>123.59999999999999</v>
      </c>
      <c r="S317" s="29">
        <f>S117</f>
        <v>123.59999999999999</v>
      </c>
      <c r="T317" s="29">
        <f>T117</f>
        <v>123.59999999999999</v>
      </c>
      <c r="U317" s="29">
        <f>U117</f>
        <v>123.59999999999999</v>
      </c>
      <c r="V317" s="29">
        <f>V117</f>
        <v>123.59999999999999</v>
      </c>
      <c r="W317" s="29">
        <f>W117</f>
        <v>123.59999999999999</v>
      </c>
      <c r="X317" s="29">
        <f>X117</f>
        <v>123.59999999999999</v>
      </c>
      <c r="Y317" s="29">
        <f>Y117</f>
        <v>123.59999999999999</v>
      </c>
      <c r="Z317" s="29">
        <f>Z117</f>
        <v>123.59999999999999</v>
      </c>
      <c r="AA317" s="29">
        <f>AA117</f>
        <v>123.59999999999999</v>
      </c>
    </row>
    <row r="318" ht="15" customHeight="1">
      <c r="A318" s="27" t="inlineStr">
        <is>
          <t>Teambuilding Fund</t>
        </is>
      </c>
      <c r="B318" s="29">
        <f>B118</f>
        <v>0</v>
      </c>
      <c r="C318" s="29">
        <f>C118</f>
        <v>0</v>
      </c>
      <c r="D318" s="29">
        <f>D118</f>
        <v>0</v>
      </c>
      <c r="E318" s="29">
        <f>E118</f>
        <v>0</v>
      </c>
      <c r="F318" s="29">
        <f>F118</f>
        <v>0</v>
      </c>
      <c r="G318" s="29">
        <f>G118</f>
        <v>0</v>
      </c>
      <c r="H318" s="29">
        <f>H118</f>
        <v>0</v>
      </c>
      <c r="I318" s="29">
        <f>I118</f>
        <v>0</v>
      </c>
      <c r="J318" s="29">
        <f>J118</f>
        <v>515.21000000000004</v>
      </c>
      <c r="K318" s="29">
        <f>K118</f>
        <v>1509.2800000000002</v>
      </c>
      <c r="L318" s="29">
        <f>L118</f>
        <v>434.65000000000009</v>
      </c>
      <c r="M318" s="29">
        <f>M118</f>
        <v>0</v>
      </c>
      <c r="N318" s="29">
        <f>N118</f>
        <v>0</v>
      </c>
      <c r="O318" s="29">
        <f>O118</f>
        <v>0</v>
      </c>
      <c r="P318" s="29">
        <f>P118</f>
        <v>0</v>
      </c>
      <c r="Q318" s="29">
        <f>Q118</f>
        <v>0</v>
      </c>
      <c r="R318" s="29">
        <f>R118</f>
        <v>0</v>
      </c>
      <c r="S318" s="29">
        <f>S118</f>
        <v>0</v>
      </c>
      <c r="T318" s="29">
        <f>T118</f>
        <v>0</v>
      </c>
      <c r="U318" s="29">
        <f>U118</f>
        <v>0</v>
      </c>
      <c r="V318" s="29">
        <f>V118</f>
        <v>0</v>
      </c>
      <c r="W318" s="29">
        <f>W118</f>
        <v>0</v>
      </c>
      <c r="X318" s="29">
        <f>X118</f>
        <v>0</v>
      </c>
      <c r="Y318" s="29">
        <f>Y118</f>
        <v>0</v>
      </c>
      <c r="Z318" s="29">
        <f>Z118</f>
        <v>0</v>
      </c>
      <c r="AA318" s="29">
        <f>AA118</f>
        <v>0</v>
      </c>
    </row>
    <row r="319" ht="15" customHeight="1">
      <c r="A319" s="27" t="inlineStr">
        <is>
          <t>Line of Credit</t>
        </is>
      </c>
      <c r="B319" s="29">
        <f>B119</f>
        <v>0</v>
      </c>
      <c r="C319" s="29">
        <f>C119</f>
        <v>0</v>
      </c>
      <c r="D319" s="29">
        <f>D119</f>
        <v>0</v>
      </c>
      <c r="E319" s="29">
        <f>E119</f>
        <v>0</v>
      </c>
      <c r="F319" s="29">
        <f>F119</f>
        <v>0</v>
      </c>
      <c r="G319" s="29">
        <f>G119</f>
        <v>20000</v>
      </c>
      <c r="H319" s="29">
        <f>H119</f>
        <v>20000</v>
      </c>
      <c r="I319" s="29">
        <f>I119</f>
        <v>19133.330000000002</v>
      </c>
      <c r="J319" s="29">
        <f>J119</f>
        <v>17366.660000000003</v>
      </c>
      <c r="K319" s="29">
        <f>K119</f>
        <v>15349.990000000003</v>
      </c>
      <c r="L319" s="29">
        <f>L119</f>
        <v>14033.320000000003</v>
      </c>
      <c r="M319" s="29">
        <f>M119</f>
        <v>12116.650000000003</v>
      </c>
      <c r="N319" s="29">
        <f>N119</f>
        <v>10199.980000000003</v>
      </c>
      <c r="O319" s="29">
        <f>O119</f>
        <v>8433.3100000000031</v>
      </c>
      <c r="P319" s="29">
        <f>P119</f>
        <v>6766.6400000000031</v>
      </c>
      <c r="Q319" s="29">
        <f>Q119</f>
        <v>5099.970000000003</v>
      </c>
      <c r="R319" s="29">
        <f>R119</f>
        <v>3433.3000000000029</v>
      </c>
      <c r="S319" s="29">
        <f>S119</f>
        <v>1666.6300000000028</v>
      </c>
      <c r="T319" s="29">
        <f>T119</f>
        <v>2.7284841053187847e-12</v>
      </c>
      <c r="U319" s="29">
        <f>U119</f>
        <v>2.7284841053187847e-12</v>
      </c>
      <c r="V319" s="29">
        <f>V119</f>
        <v>2.7284841053187847e-12</v>
      </c>
      <c r="W319" s="29">
        <f>W119</f>
        <v>2.7284841053187847e-12</v>
      </c>
      <c r="X319" s="29">
        <f>X119</f>
        <v>2.7284841053187847e-12</v>
      </c>
      <c r="Y319" s="29">
        <f>Y119</f>
        <v>2.7284841053187847e-12</v>
      </c>
      <c r="Z319" s="29">
        <f>Z119</f>
        <v>2.7284841053187847e-12</v>
      </c>
      <c r="AA319" s="29">
        <f>AA119</f>
        <v>2.7284841053187847e-12</v>
      </c>
    </row>
    <row r="320" ht="15" customHeight="1">
      <c r="A320" s="27" t="inlineStr">
        <is>
          <t>Modeled Line of Credit Draw</t>
        </is>
      </c>
      <c r="B320" s="29" t="n">
        <v>0</v>
      </c>
      <c r="C320" s="29">
        <f>C120</f>
        <v>0</v>
      </c>
      <c r="D320" s="29">
        <f>D120</f>
        <v>0</v>
      </c>
      <c r="E320" s="29">
        <f>E120</f>
        <v>0</v>
      </c>
      <c r="F320" s="29">
        <f>F120</f>
        <v>0</v>
      </c>
      <c r="G320" s="29">
        <f>G120</f>
        <v>0</v>
      </c>
      <c r="H320" s="29">
        <f>H120</f>
        <v>0</v>
      </c>
      <c r="I320" s="29">
        <f>I120</f>
        <v>0</v>
      </c>
      <c r="J320" s="29">
        <f>J120</f>
        <v>0</v>
      </c>
      <c r="K320" s="29">
        <f>K120</f>
        <v>0</v>
      </c>
      <c r="L320" s="29">
        <f>L120</f>
        <v>0</v>
      </c>
      <c r="M320" s="29">
        <f>M120</f>
        <v>0</v>
      </c>
      <c r="N320" s="29">
        <f>N120</f>
        <v>0</v>
      </c>
      <c r="O320" s="29">
        <f>O120</f>
        <v>0</v>
      </c>
      <c r="P320" s="29">
        <f>P120</f>
        <v>0</v>
      </c>
      <c r="Q320" s="29">
        <f>Q120</f>
        <v>0</v>
      </c>
      <c r="R320" s="29">
        <f>R120</f>
        <v>0</v>
      </c>
      <c r="S320" s="29">
        <f>S120</f>
        <v>0</v>
      </c>
      <c r="T320" s="29">
        <f>T120</f>
        <v>0</v>
      </c>
      <c r="U320" s="29">
        <f>U120</f>
        <v>0</v>
      </c>
      <c r="V320" s="29">
        <f>V120</f>
        <v>0</v>
      </c>
      <c r="W320" s="29">
        <f>W120</f>
        <v>0</v>
      </c>
      <c r="X320" s="29">
        <f>X120</f>
        <v>0</v>
      </c>
      <c r="Y320" s="29">
        <f>Y120</f>
        <v>0</v>
      </c>
      <c r="Z320" s="29">
        <f>Z120</f>
        <v>0</v>
      </c>
      <c r="AA320" s="29">
        <f>AA120</f>
        <v>0</v>
      </c>
    </row>
    <row r="321" ht="15" customHeight="1">
      <c r="A321" s="28" t="inlineStr">
        <is>
          <t>Total Current Liabilities</t>
        </is>
      </c>
      <c r="B321" s="30">
        <f>B121</f>
        <v>18659.279999999999</v>
      </c>
      <c r="C321" s="30">
        <f>C121</f>
        <v>19919.779999999999</v>
      </c>
      <c r="D321" s="30">
        <f>D121</f>
        <v>15036.059999999999</v>
      </c>
      <c r="E321" s="30">
        <f>E121</f>
        <v>13775.549999999999</v>
      </c>
      <c r="F321" s="30">
        <f>F121</f>
        <v>12360.34</v>
      </c>
      <c r="G321" s="30">
        <f>G121</f>
        <v>35334.239999999998</v>
      </c>
      <c r="H321" s="30">
        <f>H121</f>
        <v>34589.650000000001</v>
      </c>
      <c r="I321" s="30">
        <f>I121</f>
        <v>35613.290000000001</v>
      </c>
      <c r="J321" s="30">
        <f>J121</f>
        <v>39020.290000000001</v>
      </c>
      <c r="K321" s="30">
        <f>K121</f>
        <v>38289.029999999999</v>
      </c>
      <c r="L321" s="30">
        <f>L121</f>
        <v>38026.57</v>
      </c>
      <c r="M321" s="30">
        <f>M121</f>
        <v>34033.82</v>
      </c>
      <c r="N321" s="30">
        <f>N121</f>
        <v>33119.050000000003</v>
      </c>
      <c r="O321" s="30">
        <f>O121</f>
        <v>26770.549999999999</v>
      </c>
      <c r="P321" s="30">
        <f>P121</f>
        <v>23240.07</v>
      </c>
      <c r="Q321" s="30">
        <f>Q121</f>
        <v>12529.190000000001</v>
      </c>
      <c r="R321" s="30">
        <f>R121</f>
        <v>10903.42</v>
      </c>
      <c r="S321" s="30">
        <f>S121</f>
        <v>10408.99</v>
      </c>
      <c r="T321" s="30">
        <f>T121</f>
        <v>5604.54</v>
      </c>
      <c r="U321" s="30">
        <f>U121</f>
        <v>5302.4300000000003</v>
      </c>
      <c r="V321" s="30">
        <f>V121</f>
        <v>9239.7399999999998</v>
      </c>
      <c r="W321" s="30">
        <f>W121</f>
        <v>7746.3500000000004</v>
      </c>
      <c r="X321" s="30">
        <f>X121</f>
        <v>2982.6100000000001</v>
      </c>
      <c r="Y321" s="30">
        <f>Y121</f>
        <v>3949.1999999999998</v>
      </c>
      <c r="Z321" s="30">
        <f>Z121</f>
        <v>3434.7199999999998</v>
      </c>
      <c r="AA321" s="30">
        <f>AA121</f>
        <v>5058.4300000000003</v>
      </c>
    </row>
    <row r="323" ht="15" customHeight="1">
      <c r="A323" s="2" t="inlineStr">
        <is>
          <t>Schedule 10 — Non-Current Liabilities</t>
        </is>
      </c>
    </row>
    <row r="324" ht="21.75" customHeight="1">
      <c r="B324" s="17" t="inlineStr">
        <is>
          <t>TB 5/31/24</t>
        </is>
      </c>
      <c r="C324" s="18" t="inlineStr">
        <is>
          <t>Jun-24</t>
        </is>
      </c>
      <c r="D324" s="18" t="inlineStr">
        <is>
          <t>Jul-24</t>
        </is>
      </c>
      <c r="E324" s="18" t="inlineStr">
        <is>
          <t>Aug-24</t>
        </is>
      </c>
      <c r="F324" s="18" t="inlineStr">
        <is>
          <t>Sep-24</t>
        </is>
      </c>
      <c r="G324" s="18" t="inlineStr">
        <is>
          <t>Oct-24</t>
        </is>
      </c>
      <c r="H324" s="18" t="inlineStr">
        <is>
          <t>Nov-24</t>
        </is>
      </c>
      <c r="I324" s="18" t="inlineStr">
        <is>
          <t>Dec-24</t>
        </is>
      </c>
      <c r="J324" s="18" t="inlineStr">
        <is>
          <t>Jan-25</t>
        </is>
      </c>
      <c r="K324" s="18" t="inlineStr">
        <is>
          <t>Feb-25</t>
        </is>
      </c>
      <c r="L324" s="18" t="inlineStr">
        <is>
          <t>Mar-25</t>
        </is>
      </c>
      <c r="M324" s="18" t="inlineStr">
        <is>
          <t>Apr-25</t>
        </is>
      </c>
      <c r="N324" s="18" t="inlineStr">
        <is>
          <t>May-25</t>
        </is>
      </c>
      <c r="O324" s="18" t="inlineStr">
        <is>
          <t>Jun-25</t>
        </is>
      </c>
      <c r="P324" s="18" t="inlineStr">
        <is>
          <t>Jul-25</t>
        </is>
      </c>
      <c r="Q324" s="18" t="inlineStr">
        <is>
          <t>Aug-25</t>
        </is>
      </c>
      <c r="R324" s="18" t="inlineStr">
        <is>
          <t>Sep-25</t>
        </is>
      </c>
      <c r="S324" s="18" t="inlineStr">
        <is>
          <t>Oct-25</t>
        </is>
      </c>
      <c r="T324" s="18" t="inlineStr">
        <is>
          <t>Nov-25</t>
        </is>
      </c>
      <c r="U324" s="18" t="inlineStr">
        <is>
          <t>Dec-25</t>
        </is>
      </c>
      <c r="V324" s="18" t="inlineStr">
        <is>
          <t>Jan-26</t>
        </is>
      </c>
      <c r="W324" s="18" t="inlineStr">
        <is>
          <t>Feb-26</t>
        </is>
      </c>
      <c r="X324" s="18" t="inlineStr">
        <is>
          <t>Mar-26</t>
        </is>
      </c>
      <c r="Y324" s="18" t="inlineStr">
        <is>
          <t>Apr-26</t>
        </is>
      </c>
      <c r="Z324" s="18" t="inlineStr">
        <is>
          <t>May-26</t>
        </is>
      </c>
      <c r="AA324" s="18" t="inlineStr">
        <is>
          <t>Jun-26</t>
        </is>
      </c>
    </row>
    <row r="325" ht="15" customHeight="1">
      <c r="A325" s="27" t="inlineStr">
        <is>
          <t>Loan Payable — Opening Balance</t>
        </is>
      </c>
      <c r="C325" s="29">
        <f>B124</f>
        <v>5559.1000000000004</v>
      </c>
      <c r="D325" s="29">
        <f>C124</f>
        <v>2835.4900000000002</v>
      </c>
      <c r="E325" s="29">
        <f>D124</f>
        <v>1151.0800000000002</v>
      </c>
      <c r="F325" s="29">
        <f>E124</f>
        <v>0</v>
      </c>
      <c r="G325" s="29">
        <f>F124</f>
        <v>0</v>
      </c>
      <c r="H325" s="29">
        <f>G124</f>
        <v>0</v>
      </c>
      <c r="I325" s="29">
        <f>H124</f>
        <v>0</v>
      </c>
      <c r="J325" s="29">
        <f>I124</f>
        <v>0</v>
      </c>
      <c r="K325" s="29">
        <f>J124</f>
        <v>0</v>
      </c>
      <c r="L325" s="29">
        <f>K124</f>
        <v>0</v>
      </c>
      <c r="M325" s="29">
        <f>L124</f>
        <v>0</v>
      </c>
      <c r="N325" s="29">
        <f>M124</f>
        <v>0</v>
      </c>
      <c r="O325" s="29">
        <f>N124</f>
        <v>0</v>
      </c>
      <c r="P325" s="29">
        <f>O124</f>
        <v>0</v>
      </c>
      <c r="Q325" s="29">
        <f>P124</f>
        <v>0</v>
      </c>
      <c r="R325" s="29">
        <f>Q124</f>
        <v>0</v>
      </c>
      <c r="S325" s="29">
        <f>R124</f>
        <v>0</v>
      </c>
      <c r="T325" s="29">
        <f>S124</f>
        <v>0</v>
      </c>
      <c r="U325" s="29">
        <f>T124</f>
        <v>0</v>
      </c>
      <c r="V325" s="29">
        <f>U124</f>
        <v>0</v>
      </c>
      <c r="W325" s="29">
        <f>V124</f>
        <v>0</v>
      </c>
      <c r="X325" s="29">
        <f>W124</f>
        <v>0</v>
      </c>
      <c r="Y325" s="29">
        <f>X124</f>
        <v>0</v>
      </c>
      <c r="Z325" s="29">
        <f>Y124</f>
        <v>0</v>
      </c>
      <c r="AA325" s="29">
        <f>Z124</f>
        <v>0</v>
      </c>
    </row>
    <row r="326" ht="15" customHeight="1">
      <c r="A326" s="27" t="inlineStr">
        <is>
          <t>Net Draws / (Repayments)</t>
        </is>
      </c>
      <c r="C326" s="29">
        <f>C124-B124</f>
        <v>-2723.6100000000001</v>
      </c>
      <c r="D326" s="29">
        <f>D124-C124</f>
        <v>-1684.4100000000001</v>
      </c>
      <c r="E326" s="29">
        <f>E124-D124</f>
        <v>-1151.0800000000002</v>
      </c>
      <c r="F326" s="29">
        <f>F124-E124</f>
        <v>0</v>
      </c>
      <c r="G326" s="29">
        <f>G124-F124</f>
        <v>0</v>
      </c>
      <c r="H326" s="29">
        <f>H124-G124</f>
        <v>0</v>
      </c>
      <c r="I326" s="29">
        <f>I124-H124</f>
        <v>0</v>
      </c>
      <c r="J326" s="29">
        <f>J124-I124</f>
        <v>0</v>
      </c>
      <c r="K326" s="29">
        <f>K124-J124</f>
        <v>0</v>
      </c>
      <c r="L326" s="29">
        <f>L124-K124</f>
        <v>0</v>
      </c>
      <c r="M326" s="29">
        <f>M124-L124</f>
        <v>0</v>
      </c>
      <c r="N326" s="29">
        <f>N124-M124</f>
        <v>0</v>
      </c>
      <c r="O326" s="29">
        <f>O124-N124</f>
        <v>0</v>
      </c>
      <c r="P326" s="29">
        <f>P124-O124</f>
        <v>0</v>
      </c>
      <c r="Q326" s="29">
        <f>Q124-P124</f>
        <v>0</v>
      </c>
      <c r="R326" s="29">
        <f>R124-Q124</f>
        <v>0</v>
      </c>
      <c r="S326" s="29">
        <f>S124-R124</f>
        <v>0</v>
      </c>
      <c r="T326" s="29">
        <f>T124-S124</f>
        <v>0</v>
      </c>
      <c r="U326" s="29">
        <f>U124-T124</f>
        <v>0</v>
      </c>
      <c r="V326" s="29">
        <f>V124-U124</f>
        <v>0</v>
      </c>
      <c r="W326" s="29">
        <f>W124-V124</f>
        <v>0</v>
      </c>
      <c r="X326" s="29">
        <f>X124-W124</f>
        <v>0</v>
      </c>
      <c r="Y326" s="29">
        <f>Y124-X124</f>
        <v>0</v>
      </c>
      <c r="Z326" s="29">
        <f>Z124-Y124</f>
        <v>0</v>
      </c>
      <c r="AA326" s="29">
        <f>AA124-Z124</f>
        <v>0</v>
      </c>
    </row>
    <row r="327" ht="15" customHeight="1">
      <c r="A327" s="28" t="inlineStr">
        <is>
          <t>Loan Payable — Closing Balance</t>
        </is>
      </c>
      <c r="B327" s="30">
        <f>B124</f>
        <v>5559.1000000000004</v>
      </c>
      <c r="C327" s="30">
        <f>C124</f>
        <v>2835.4900000000002</v>
      </c>
      <c r="D327" s="30">
        <f>D124</f>
        <v>1151.0800000000002</v>
      </c>
      <c r="E327" s="30">
        <f>E124</f>
        <v>0</v>
      </c>
      <c r="F327" s="30">
        <f>F124</f>
        <v>0</v>
      </c>
      <c r="G327" s="30">
        <f>G124</f>
        <v>0</v>
      </c>
      <c r="H327" s="30">
        <f>H124</f>
        <v>0</v>
      </c>
      <c r="I327" s="30">
        <f>I124</f>
        <v>0</v>
      </c>
      <c r="J327" s="30">
        <f>J124</f>
        <v>0</v>
      </c>
      <c r="K327" s="30">
        <f>K124</f>
        <v>0</v>
      </c>
      <c r="L327" s="30">
        <f>L124</f>
        <v>0</v>
      </c>
      <c r="M327" s="30">
        <f>M124</f>
        <v>0</v>
      </c>
      <c r="N327" s="30">
        <f>N124</f>
        <v>0</v>
      </c>
      <c r="O327" s="30">
        <f>O124</f>
        <v>0</v>
      </c>
      <c r="P327" s="30">
        <f>P124</f>
        <v>0</v>
      </c>
      <c r="Q327" s="30">
        <f>Q124</f>
        <v>0</v>
      </c>
      <c r="R327" s="30">
        <f>R124</f>
        <v>0</v>
      </c>
      <c r="S327" s="30">
        <f>S124</f>
        <v>0</v>
      </c>
      <c r="T327" s="30">
        <f>T124</f>
        <v>0</v>
      </c>
      <c r="U327" s="30">
        <f>U124</f>
        <v>0</v>
      </c>
      <c r="V327" s="30">
        <f>V124</f>
        <v>0</v>
      </c>
      <c r="W327" s="30">
        <f>W124</f>
        <v>0</v>
      </c>
      <c r="X327" s="30">
        <f>X124</f>
        <v>0</v>
      </c>
      <c r="Y327" s="30">
        <f>Y124</f>
        <v>0</v>
      </c>
      <c r="Z327" s="30">
        <f>Z124</f>
        <v>0</v>
      </c>
      <c r="AA327" s="30">
        <f>AA124</f>
        <v>0</v>
      </c>
    </row>
    <row r="329" ht="15" customHeight="1">
      <c r="A329" s="2" t="inlineStr">
        <is>
          <t>Schedule 11 — Equity</t>
        </is>
      </c>
    </row>
    <row r="330" ht="21.75" customHeight="1">
      <c r="B330" s="17" t="inlineStr">
        <is>
          <t>TB 5/31/24</t>
        </is>
      </c>
      <c r="C330" s="18" t="inlineStr">
        <is>
          <t>Jun-24</t>
        </is>
      </c>
      <c r="D330" s="18" t="inlineStr">
        <is>
          <t>Jul-24</t>
        </is>
      </c>
      <c r="E330" s="18" t="inlineStr">
        <is>
          <t>Aug-24</t>
        </is>
      </c>
      <c r="F330" s="18" t="inlineStr">
        <is>
          <t>Sep-24</t>
        </is>
      </c>
      <c r="G330" s="18" t="inlineStr">
        <is>
          <t>Oct-24</t>
        </is>
      </c>
      <c r="H330" s="18" t="inlineStr">
        <is>
          <t>Nov-24</t>
        </is>
      </c>
      <c r="I330" s="18" t="inlineStr">
        <is>
          <t>Dec-24</t>
        </is>
      </c>
      <c r="J330" s="18" t="inlineStr">
        <is>
          <t>Jan-25</t>
        </is>
      </c>
      <c r="K330" s="18" t="inlineStr">
        <is>
          <t>Feb-25</t>
        </is>
      </c>
      <c r="L330" s="18" t="inlineStr">
        <is>
          <t>Mar-25</t>
        </is>
      </c>
      <c r="M330" s="18" t="inlineStr">
        <is>
          <t>Apr-25</t>
        </is>
      </c>
      <c r="N330" s="18" t="inlineStr">
        <is>
          <t>May-25</t>
        </is>
      </c>
      <c r="O330" s="18" t="inlineStr">
        <is>
          <t>Jun-25</t>
        </is>
      </c>
      <c r="P330" s="18" t="inlineStr">
        <is>
          <t>Jul-25</t>
        </is>
      </c>
      <c r="Q330" s="18" t="inlineStr">
        <is>
          <t>Aug-25</t>
        </is>
      </c>
      <c r="R330" s="18" t="inlineStr">
        <is>
          <t>Sep-25</t>
        </is>
      </c>
      <c r="S330" s="18" t="inlineStr">
        <is>
          <t>Oct-25</t>
        </is>
      </c>
      <c r="T330" s="18" t="inlineStr">
        <is>
          <t>Nov-25</t>
        </is>
      </c>
      <c r="U330" s="18" t="inlineStr">
        <is>
          <t>Dec-25</t>
        </is>
      </c>
      <c r="V330" s="18" t="inlineStr">
        <is>
          <t>Jan-26</t>
        </is>
      </c>
      <c r="W330" s="18" t="inlineStr">
        <is>
          <t>Feb-26</t>
        </is>
      </c>
      <c r="X330" s="18" t="inlineStr">
        <is>
          <t>Mar-26</t>
        </is>
      </c>
      <c r="Y330" s="18" t="inlineStr">
        <is>
          <t>Apr-26</t>
        </is>
      </c>
      <c r="Z330" s="18" t="inlineStr">
        <is>
          <t>May-26</t>
        </is>
      </c>
      <c r="AA330" s="18" t="inlineStr">
        <is>
          <t>Jun-26</t>
        </is>
      </c>
    </row>
    <row r="331" ht="15" customHeight="1">
      <c r="A331" s="27" t="inlineStr">
        <is>
          <t>Total Equity — Opening Balance</t>
        </is>
      </c>
      <c r="C331" s="29">
        <f>B133</f>
        <v>6540.0400000000009</v>
      </c>
      <c r="D331" s="29">
        <f>C133</f>
        <v>3089.6199999999899</v>
      </c>
      <c r="E331" s="29">
        <f>D133</f>
        <v>12833.540000000001</v>
      </c>
      <c r="F331" s="29">
        <f>E133</f>
        <v>12955.23</v>
      </c>
      <c r="G331" s="29">
        <f>F133</f>
        <v>13240.73</v>
      </c>
      <c r="H331" s="29">
        <f>G133</f>
        <v>11574.23</v>
      </c>
      <c r="I331" s="29">
        <f>H133</f>
        <v>6660.7299999999996</v>
      </c>
      <c r="J331" s="29">
        <f>I133</f>
        <v>-11447.309999999999</v>
      </c>
      <c r="K331" s="29">
        <f>J133</f>
        <v>-11589.83</v>
      </c>
      <c r="L331" s="29">
        <f>K133</f>
        <v>-13630.75</v>
      </c>
      <c r="M331" s="29">
        <f>L133</f>
        <v>-5207.1599999999598</v>
      </c>
      <c r="N331" s="29">
        <f>M133</f>
        <v>3712.3000000000502</v>
      </c>
      <c r="O331" s="29">
        <f>N133</f>
        <v>22427.930000000099</v>
      </c>
      <c r="P331" s="29">
        <f>O133</f>
        <v>15422.280000000101</v>
      </c>
      <c r="Q331" s="29">
        <f>P133</f>
        <v>43843.370000000097</v>
      </c>
      <c r="R331" s="29">
        <f>Q133</f>
        <v>36157.860000000102</v>
      </c>
      <c r="S331" s="29">
        <f>R133</f>
        <v>46222.590000000098</v>
      </c>
      <c r="T331" s="29">
        <f>S133</f>
        <v>65292.959999999999</v>
      </c>
      <c r="U331" s="29">
        <f>T133</f>
        <v>66407.410000000003</v>
      </c>
      <c r="V331" s="29">
        <f>U133</f>
        <v>55912.07</v>
      </c>
      <c r="W331" s="29">
        <f>V133</f>
        <v>74819.289999999994</v>
      </c>
      <c r="X331" s="29">
        <f>W133</f>
        <v>66481.039999999994</v>
      </c>
      <c r="Y331" s="29">
        <f>X133</f>
        <v>66880.860000000001</v>
      </c>
      <c r="Z331" s="29">
        <f>Y133</f>
        <v>83835.840000000098</v>
      </c>
      <c r="AA331" s="29">
        <f>Z133</f>
        <v>89233.100000000093</v>
      </c>
    </row>
    <row r="332" ht="15" customHeight="1">
      <c r="A332" s="27" t="inlineStr">
        <is>
          <t>Net Income for the Month</t>
        </is>
      </c>
      <c r="C332" s="29">
        <f>C81</f>
        <v>1499.6299999999901</v>
      </c>
      <c r="D332" s="29">
        <f>D81</f>
        <v>14516.25</v>
      </c>
      <c r="E332" s="29">
        <f>E81</f>
        <v>5269.9700000000003</v>
      </c>
      <c r="F332" s="29">
        <f>F81</f>
        <v>5158.5699999999997</v>
      </c>
      <c r="G332" s="29">
        <f>G81</f>
        <v>3226.52</v>
      </c>
      <c r="H332" s="29">
        <f>H81</f>
        <v>2937.5100000000102</v>
      </c>
      <c r="I332" s="29">
        <f>I81</f>
        <v>-25378.400000000001</v>
      </c>
      <c r="J332" s="29">
        <f>J81</f>
        <v>802.969999999999</v>
      </c>
      <c r="K332" s="29">
        <f>K81</f>
        <v>484.75000000001103</v>
      </c>
      <c r="L332" s="29">
        <f>L81</f>
        <v>12076.709999999999</v>
      </c>
      <c r="M332" s="29">
        <f>M81</f>
        <v>17357.23</v>
      </c>
      <c r="N332" s="29">
        <f>N81</f>
        <v>23478.209999999999</v>
      </c>
      <c r="O332" s="29">
        <f>O81</f>
        <v>61.730000000005198</v>
      </c>
      <c r="P332" s="29">
        <f>P81</f>
        <v>35334.660000000003</v>
      </c>
      <c r="Q332" s="29">
        <f>Q81</f>
        <v>768.13999999999999</v>
      </c>
      <c r="R332" s="29">
        <f>R81</f>
        <v>15892.549999999999</v>
      </c>
      <c r="S332" s="29">
        <f>S81</f>
        <v>27346.970000000001</v>
      </c>
      <c r="T332" s="29">
        <f>T81</f>
        <v>15643.059999999999</v>
      </c>
      <c r="U332" s="29">
        <f>U81</f>
        <v>-8122.4899999999898</v>
      </c>
      <c r="V332" s="29">
        <f>V81</f>
        <v>23634.5</v>
      </c>
      <c r="W332" s="29">
        <f>W81</f>
        <v>162.860000000003</v>
      </c>
      <c r="X332" s="29">
        <f>X81</f>
        <v>8912.7600000000202</v>
      </c>
      <c r="Y332" s="29">
        <f>Y81</f>
        <v>22040.869999999999</v>
      </c>
      <c r="Z332" s="29">
        <f>Z81</f>
        <v>14873.66</v>
      </c>
      <c r="AA332" s="29">
        <f>AA81</f>
        <v>3836.1999999999998</v>
      </c>
    </row>
    <row r="333" ht="15" customHeight="1">
      <c r="A333" s="27" t="inlineStr">
        <is>
          <t>Movement in Retained Earnings (per GL)</t>
        </is>
      </c>
      <c r="C333" s="29">
        <f>C130-B130</f>
        <v>0</v>
      </c>
      <c r="D333" s="29">
        <f>D130-C130</f>
        <v>0</v>
      </c>
      <c r="E333" s="29">
        <f>E130-D130</f>
        <v>0</v>
      </c>
      <c r="F333" s="29">
        <f>F130-E130</f>
        <v>0</v>
      </c>
      <c r="G333" s="29">
        <f>G130-F130</f>
        <v>0</v>
      </c>
      <c r="H333" s="29">
        <f>H130-G130</f>
        <v>0</v>
      </c>
      <c r="I333" s="29">
        <f>I130-H130</f>
        <v>0</v>
      </c>
      <c r="J333" s="29">
        <f>J130-I130</f>
        <v>-51485.830000000002</v>
      </c>
      <c r="K333" s="29">
        <f>K130-J130</f>
        <v>0</v>
      </c>
      <c r="L333" s="29">
        <f>L130-K130</f>
        <v>0</v>
      </c>
      <c r="M333" s="29">
        <f>M130-L130</f>
        <v>0</v>
      </c>
      <c r="N333" s="29">
        <f>N130-M130</f>
        <v>0</v>
      </c>
      <c r="O333" s="29">
        <f>O130-N130</f>
        <v>0</v>
      </c>
      <c r="P333" s="29">
        <f>P130-O130</f>
        <v>0</v>
      </c>
      <c r="Q333" s="29">
        <f>Q130-P130</f>
        <v>0</v>
      </c>
      <c r="R333" s="29">
        <f>R130-Q130</f>
        <v>0</v>
      </c>
      <c r="S333" s="29">
        <f>S130-R130</f>
        <v>0</v>
      </c>
      <c r="T333" s="29">
        <f>T130-S130</f>
        <v>0</v>
      </c>
      <c r="U333" s="29">
        <f>U130-T130</f>
        <v>0</v>
      </c>
      <c r="V333" s="29">
        <f>V130-U130</f>
        <v>-73765.109999999986</v>
      </c>
      <c r="W333" s="29">
        <f>W130-V130</f>
        <v>0</v>
      </c>
      <c r="X333" s="29">
        <f>X130-W130</f>
        <v>0</v>
      </c>
      <c r="Y333" s="29">
        <f>Y130-X130</f>
        <v>0</v>
      </c>
      <c r="Z333" s="29">
        <f>Z130-Y130</f>
        <v>0</v>
      </c>
      <c r="AA333" s="29">
        <f>AA130-Z130</f>
        <v>0</v>
      </c>
    </row>
    <row r="334" ht="15" customHeight="1">
      <c r="A334" s="27" t="inlineStr">
        <is>
          <t>Movement in Owner's Pay &amp; Personal Expenses</t>
        </is>
      </c>
      <c r="C334" s="29">
        <f>C131-B131</f>
        <v>-4950.0499999999993</v>
      </c>
      <c r="D334" s="29">
        <f>D131-C131</f>
        <v>-4772.3299999999981</v>
      </c>
      <c r="E334" s="29">
        <f>E131-D131</f>
        <v>-5148.2799999999988</v>
      </c>
      <c r="F334" s="29">
        <f>F131-E131</f>
        <v>-4873.0699999999997</v>
      </c>
      <c r="G334" s="29">
        <f>G131-F131</f>
        <v>-4893.0199999999968</v>
      </c>
      <c r="H334" s="29">
        <f>H131-G131</f>
        <v>-7851.010000000002</v>
      </c>
      <c r="I334" s="29">
        <f>I131-H131</f>
        <v>7270.3600000000006</v>
      </c>
      <c r="J334" s="29">
        <f>J131-I131</f>
        <v>50540.339999999997</v>
      </c>
      <c r="K334" s="29">
        <f>K131-J131</f>
        <v>-2525.6700000000001</v>
      </c>
      <c r="L334" s="29">
        <f>L131-K131</f>
        <v>-3653.1199999999999</v>
      </c>
      <c r="M334" s="29">
        <f>M131-L131</f>
        <v>-8437.7700000000004</v>
      </c>
      <c r="N334" s="29">
        <f>N131-M131</f>
        <v>-4762.5799999999981</v>
      </c>
      <c r="O334" s="29">
        <f>O131-N131</f>
        <v>-7067.380000000001</v>
      </c>
      <c r="P334" s="29">
        <f>P131-O131</f>
        <v>-6913.5700000000033</v>
      </c>
      <c r="Q334" s="29">
        <f>Q131-P131</f>
        <v>-8453.6500000000015</v>
      </c>
      <c r="R334" s="29">
        <f>R131-Q131</f>
        <v>-5827.8199999999997</v>
      </c>
      <c r="S334" s="29">
        <f>S131-R131</f>
        <v>-8276.5999999999985</v>
      </c>
      <c r="T334" s="29">
        <f>T131-S131</f>
        <v>-14528.610000000008</v>
      </c>
      <c r="U334" s="29">
        <f>U131-T131</f>
        <v>-2372.8500000000058</v>
      </c>
      <c r="V334" s="29">
        <f>V131-U131</f>
        <v>69037.830000000002</v>
      </c>
      <c r="W334" s="29">
        <f>W131-V131</f>
        <v>-8501.1100000000006</v>
      </c>
      <c r="X334" s="29">
        <f>X131-W131</f>
        <v>-8512.9400000000023</v>
      </c>
      <c r="Y334" s="29">
        <f>Y131-X131</f>
        <v>-5085.8899999999994</v>
      </c>
      <c r="Z334" s="29">
        <f>Z131-Y131</f>
        <v>-9476.4000000000015</v>
      </c>
      <c r="AA334" s="29">
        <f>AA131-Z131</f>
        <v>-10829.980000000003</v>
      </c>
    </row>
    <row r="335" ht="15" customHeight="1">
      <c r="A335" s="28" t="inlineStr">
        <is>
          <t>Total Equity — Closing Balance</t>
        </is>
      </c>
      <c r="B335" s="30">
        <f>B133</f>
        <v>6540.0400000000009</v>
      </c>
      <c r="C335" s="30">
        <f>C133</f>
        <v>3089.6199999999899</v>
      </c>
      <c r="D335" s="30">
        <f>D133</f>
        <v>12833.540000000001</v>
      </c>
      <c r="E335" s="30">
        <f>E133</f>
        <v>12955.23</v>
      </c>
      <c r="F335" s="30">
        <f>F133</f>
        <v>13240.73</v>
      </c>
      <c r="G335" s="30">
        <f>G133</f>
        <v>11574.23</v>
      </c>
      <c r="H335" s="30">
        <f>H133</f>
        <v>6660.7299999999996</v>
      </c>
      <c r="I335" s="30">
        <f>I133</f>
        <v>-11447.309999999999</v>
      </c>
      <c r="J335" s="30">
        <f>J133</f>
        <v>-11589.83</v>
      </c>
      <c r="K335" s="30">
        <f>K133</f>
        <v>-13630.75</v>
      </c>
      <c r="L335" s="30">
        <f>L133</f>
        <v>-5207.1599999999598</v>
      </c>
      <c r="M335" s="30">
        <f>M133</f>
        <v>3712.3000000000502</v>
      </c>
      <c r="N335" s="30">
        <f>N133</f>
        <v>22427.930000000099</v>
      </c>
      <c r="O335" s="30">
        <f>O133</f>
        <v>15422.280000000101</v>
      </c>
      <c r="P335" s="30">
        <f>P133</f>
        <v>43843.370000000097</v>
      </c>
      <c r="Q335" s="30">
        <f>Q133</f>
        <v>36157.860000000102</v>
      </c>
      <c r="R335" s="30">
        <f>R133</f>
        <v>46222.590000000098</v>
      </c>
      <c r="S335" s="30">
        <f>S133</f>
        <v>65292.959999999999</v>
      </c>
      <c r="T335" s="30">
        <f>T133</f>
        <v>66407.410000000003</v>
      </c>
      <c r="U335" s="30">
        <f>U133</f>
        <v>55912.07</v>
      </c>
      <c r="V335" s="30">
        <f>V133</f>
        <v>74819.289999999994</v>
      </c>
      <c r="W335" s="30">
        <f>W133</f>
        <v>66481.039999999994</v>
      </c>
      <c r="X335" s="30">
        <f>X133</f>
        <v>66880.860000000001</v>
      </c>
      <c r="Y335" s="30">
        <f>Y133</f>
        <v>83835.840000000098</v>
      </c>
      <c r="Z335" s="30">
        <f>Z133</f>
        <v>89233.100000000093</v>
      </c>
      <c r="AA335" s="30">
        <f>AA133</f>
        <v>82239.320000000094</v>
      </c>
    </row>
    <row r="337" ht="15" customHeight="1">
      <c r="A337" s="2" t="inlineStr">
        <is>
          <t>Schedule 12 — Softwares</t>
        </is>
      </c>
    </row>
    <row r="338" ht="21.75" customHeight="1">
      <c r="B338" s="17" t="inlineStr">
        <is>
          <t>TB 5/31/24</t>
        </is>
      </c>
      <c r="C338" s="18" t="inlineStr">
        <is>
          <t>Jun-24</t>
        </is>
      </c>
      <c r="D338" s="18" t="inlineStr">
        <is>
          <t>Jul-24</t>
        </is>
      </c>
      <c r="E338" s="18" t="inlineStr">
        <is>
          <t>Aug-24</t>
        </is>
      </c>
      <c r="F338" s="18" t="inlineStr">
        <is>
          <t>Sep-24</t>
        </is>
      </c>
      <c r="G338" s="18" t="inlineStr">
        <is>
          <t>Oct-24</t>
        </is>
      </c>
      <c r="H338" s="18" t="inlineStr">
        <is>
          <t>Nov-24</t>
        </is>
      </c>
      <c r="I338" s="18" t="inlineStr">
        <is>
          <t>Dec-24</t>
        </is>
      </c>
      <c r="J338" s="18" t="inlineStr">
        <is>
          <t>Jan-25</t>
        </is>
      </c>
      <c r="K338" s="18" t="inlineStr">
        <is>
          <t>Feb-25</t>
        </is>
      </c>
      <c r="L338" s="18" t="inlineStr">
        <is>
          <t>Mar-25</t>
        </is>
      </c>
      <c r="M338" s="18" t="inlineStr">
        <is>
          <t>Apr-25</t>
        </is>
      </c>
      <c r="N338" s="18" t="inlineStr">
        <is>
          <t>May-25</t>
        </is>
      </c>
      <c r="O338" s="18" t="inlineStr">
        <is>
          <t>Jun-25</t>
        </is>
      </c>
      <c r="P338" s="18" t="inlineStr">
        <is>
          <t>Jul-25</t>
        </is>
      </c>
      <c r="Q338" s="18" t="inlineStr">
        <is>
          <t>Aug-25</t>
        </is>
      </c>
      <c r="R338" s="18" t="inlineStr">
        <is>
          <t>Sep-25</t>
        </is>
      </c>
      <c r="S338" s="18" t="inlineStr">
        <is>
          <t>Oct-25</t>
        </is>
      </c>
      <c r="T338" s="18" t="inlineStr">
        <is>
          <t>Nov-25</t>
        </is>
      </c>
      <c r="U338" s="18" t="inlineStr">
        <is>
          <t>Dec-25</t>
        </is>
      </c>
      <c r="V338" s="18" t="inlineStr">
        <is>
          <t>Jan-26</t>
        </is>
      </c>
      <c r="W338" s="18" t="inlineStr">
        <is>
          <t>Feb-26</t>
        </is>
      </c>
      <c r="X338" s="18" t="inlineStr">
        <is>
          <t>Mar-26</t>
        </is>
      </c>
      <c r="Y338" s="18" t="inlineStr">
        <is>
          <t>Apr-26</t>
        </is>
      </c>
      <c r="Z338" s="18" t="inlineStr">
        <is>
          <t>May-26</t>
        </is>
      </c>
      <c r="AA338" s="18" t="inlineStr">
        <is>
          <t>Jun-26</t>
        </is>
      </c>
    </row>
    <row r="339" ht="15" customHeight="1">
      <c r="A339" t="inlineStr">
        <is>
          <t>Adobe</t>
        </is>
      </c>
      <c r="C339" s="41" t="n"/>
      <c r="D339" s="41" t="n"/>
      <c r="E339" s="41" t="n"/>
      <c r="F339" s="41" t="n"/>
      <c r="G339" s="41" t="n"/>
      <c r="H339" s="41" t="n">
        <v>29.99</v>
      </c>
      <c r="I339" s="41" t="n">
        <v>29.99</v>
      </c>
      <c r="J339" s="41" t="n"/>
      <c r="K339" s="41" t="n"/>
      <c r="L339" s="41" t="n"/>
      <c r="M339" s="41" t="n"/>
      <c r="N339" s="41" t="n"/>
      <c r="O339" s="41" t="n"/>
      <c r="P339" s="41" t="n"/>
      <c r="Q339" s="41" t="n"/>
      <c r="R339" s="41" t="n"/>
      <c r="S339" s="41" t="n"/>
      <c r="T339" s="41" t="n"/>
      <c r="U339" s="41" t="n"/>
      <c r="V339" s="41" t="n"/>
      <c r="W339" s="41" t="n"/>
      <c r="X339" s="41" t="n"/>
      <c r="Y339" s="41" t="n"/>
      <c r="Z339" s="41" t="n"/>
      <c r="AA339" s="41" t="n"/>
    </row>
    <row r="340" ht="15" customHeight="1">
      <c r="A340" t="inlineStr">
        <is>
          <t>Answer The Public LTD</t>
        </is>
      </c>
      <c r="C340" s="41" t="n"/>
      <c r="D340" s="41" t="n"/>
      <c r="E340" s="41" t="n"/>
      <c r="F340" s="41" t="n">
        <v>50</v>
      </c>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row>
    <row r="341" ht="15" customHeight="1">
      <c r="A341" t="inlineStr">
        <is>
          <t>Apple Store</t>
        </is>
      </c>
      <c r="C341" s="41" t="n">
        <v>80.18000000000001</v>
      </c>
      <c r="D341" s="41" t="n">
        <v>86.09</v>
      </c>
      <c r="E341" s="41" t="n">
        <v>45.7</v>
      </c>
      <c r="F341" s="41" t="n">
        <v>106.47</v>
      </c>
      <c r="G341" s="41" t="n">
        <v>52.86</v>
      </c>
      <c r="H341" s="41" t="n">
        <v>79.65000000000001</v>
      </c>
      <c r="I341" s="41" t="n">
        <v>95.73</v>
      </c>
      <c r="J341" s="41" t="n"/>
      <c r="K341" s="41" t="n"/>
      <c r="L341" s="41" t="n"/>
      <c r="M341" s="41" t="n"/>
      <c r="N341" s="41" t="n"/>
      <c r="O341" s="41" t="n"/>
      <c r="P341" s="41" t="n"/>
      <c r="Q341" s="41" t="n"/>
      <c r="R341" s="41" t="n"/>
      <c r="S341" s="41" t="n"/>
      <c r="T341" s="41" t="n"/>
      <c r="U341" s="41" t="n"/>
      <c r="V341" s="41" t="n"/>
      <c r="W341" s="41" t="n"/>
      <c r="X341" s="41" t="n"/>
      <c r="Y341" s="41" t="n"/>
      <c r="Z341" s="41" t="n"/>
      <c r="AA341" s="41" t="n"/>
    </row>
    <row r="342" ht="15" customHeight="1">
      <c r="A342" t="inlineStr">
        <is>
          <t>Calendly</t>
        </is>
      </c>
      <c r="C342" s="41" t="n">
        <v>11.53</v>
      </c>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row>
    <row r="343" ht="15" customHeight="1">
      <c r="A343" t="inlineStr">
        <is>
          <t>Canva</t>
        </is>
      </c>
      <c r="C343" s="41" t="n"/>
      <c r="D343" s="41" t="n">
        <v>12.95</v>
      </c>
      <c r="E343" s="41" t="n">
        <v>12.95</v>
      </c>
      <c r="F343" s="41" t="n">
        <v>12.95</v>
      </c>
      <c r="G343" s="41" t="n">
        <v>12.95</v>
      </c>
      <c r="H343" s="41" t="n">
        <v>12.95</v>
      </c>
      <c r="I343" s="41" t="n">
        <v>12.95</v>
      </c>
      <c r="J343" s="41" t="n"/>
      <c r="K343" s="41" t="n"/>
      <c r="L343" s="41" t="n"/>
      <c r="M343" s="41" t="n"/>
      <c r="N343" s="41" t="n"/>
      <c r="O343" s="41" t="n"/>
      <c r="P343" s="41" t="n"/>
      <c r="Q343" s="41" t="n"/>
      <c r="R343" s="41" t="n"/>
      <c r="S343" s="41" t="n"/>
      <c r="T343" s="41" t="n"/>
      <c r="U343" s="41" t="n"/>
      <c r="V343" s="41" t="n"/>
      <c r="W343" s="41" t="n"/>
      <c r="X343" s="41" t="n"/>
      <c r="Y343" s="41" t="n"/>
      <c r="Z343" s="41" t="n"/>
      <c r="AA343" s="41" t="n"/>
    </row>
    <row r="344" ht="15" customHeight="1">
      <c r="A344" t="inlineStr">
        <is>
          <t>Cloudways</t>
        </is>
      </c>
      <c r="C344" s="41" t="n">
        <v>30.64</v>
      </c>
      <c r="D344" s="41" t="n"/>
      <c r="E344" s="41" t="n">
        <v>30.64</v>
      </c>
      <c r="F344" s="41" t="n">
        <v>30.64</v>
      </c>
      <c r="G344" s="41" t="n">
        <v>30.64</v>
      </c>
      <c r="H344" s="41" t="n"/>
      <c r="I344" s="41" t="n">
        <v>30.64</v>
      </c>
      <c r="J344" s="41" t="n"/>
      <c r="K344" s="41" t="n"/>
      <c r="L344" s="41" t="n"/>
      <c r="M344" s="41" t="n"/>
      <c r="N344" s="41" t="n"/>
      <c r="O344" s="41" t="n"/>
      <c r="P344" s="41" t="n"/>
      <c r="Q344" s="41" t="n"/>
      <c r="R344" s="41" t="n"/>
      <c r="S344" s="41" t="n"/>
      <c r="T344" s="41" t="n"/>
      <c r="U344" s="41" t="n"/>
      <c r="V344" s="41" t="n"/>
      <c r="W344" s="41" t="n"/>
      <c r="X344" s="41" t="n"/>
      <c r="Y344" s="41" t="n"/>
      <c r="Z344" s="41" t="n"/>
      <c r="AA344" s="41" t="n"/>
    </row>
    <row r="345" ht="15" customHeight="1">
      <c r="A345" t="inlineStr">
        <is>
          <t>DIALPAD</t>
        </is>
      </c>
      <c r="C345" s="41" t="n">
        <v>274.73</v>
      </c>
      <c r="D345" s="41" t="n">
        <v>1.5</v>
      </c>
      <c r="E345" s="41" t="n">
        <v>1.5</v>
      </c>
      <c r="F345" s="41" t="n"/>
      <c r="G345" s="41" t="n">
        <v>1.5</v>
      </c>
      <c r="H345" s="41" t="n">
        <v>1.5</v>
      </c>
      <c r="I345" s="41" t="n">
        <v>1.5</v>
      </c>
      <c r="J345" s="41" t="n"/>
      <c r="K345" s="41" t="n"/>
      <c r="L345" s="41" t="n"/>
      <c r="M345" s="41" t="n"/>
      <c r="N345" s="41" t="n"/>
      <c r="O345" s="41" t="n"/>
      <c r="P345" s="41" t="n"/>
      <c r="Q345" s="41" t="n"/>
      <c r="R345" s="41" t="n"/>
      <c r="S345" s="41" t="n"/>
      <c r="T345" s="41" t="n"/>
      <c r="U345" s="41" t="n"/>
      <c r="V345" s="41" t="n"/>
      <c r="W345" s="41" t="n"/>
      <c r="X345" s="41" t="n"/>
      <c r="Y345" s="41" t="n"/>
      <c r="Z345" s="41" t="n"/>
      <c r="AA345" s="41" t="n"/>
    </row>
    <row r="346" ht="15" customHeight="1">
      <c r="A346" t="inlineStr">
        <is>
          <t>Duet, Inc.</t>
        </is>
      </c>
      <c r="C346" s="41" t="n"/>
      <c r="D346" s="41" t="n"/>
      <c r="E346" s="41" t="n"/>
      <c r="F346" s="41" t="n">
        <v>24.99</v>
      </c>
      <c r="G346" s="41" t="n">
        <v>-24.99</v>
      </c>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row>
    <row r="347" ht="15" customHeight="1">
      <c r="A347" t="inlineStr">
        <is>
          <t>Dux-Soup</t>
        </is>
      </c>
      <c r="C347" s="41" t="n">
        <v>14.99</v>
      </c>
      <c r="D347" s="41" t="n">
        <v>14.99</v>
      </c>
      <c r="E347" s="41" t="n">
        <v>14.99</v>
      </c>
      <c r="F347" s="41" t="n">
        <v>29.98</v>
      </c>
      <c r="G347" s="41" t="n">
        <v>14.99</v>
      </c>
      <c r="H347" s="41" t="n"/>
      <c r="I347" s="41" t="n">
        <v>14.99</v>
      </c>
      <c r="J347" s="41" t="n"/>
      <c r="K347" s="41" t="n"/>
      <c r="L347" s="41" t="n"/>
      <c r="M347" s="41" t="n"/>
      <c r="N347" s="41" t="n"/>
      <c r="O347" s="41" t="n"/>
      <c r="P347" s="41" t="n"/>
      <c r="Q347" s="41" t="n"/>
      <c r="R347" s="41" t="n"/>
      <c r="S347" s="41" t="n"/>
      <c r="T347" s="41" t="n"/>
      <c r="U347" s="41" t="n"/>
      <c r="V347" s="41" t="n"/>
      <c r="W347" s="41" t="n"/>
      <c r="X347" s="41" t="n"/>
      <c r="Y347" s="41" t="n"/>
      <c r="Z347" s="41" t="n"/>
      <c r="AA347" s="41" t="n"/>
    </row>
    <row r="348" ht="15" customHeight="1">
      <c r="A348" t="inlineStr">
        <is>
          <t>Envato</t>
        </is>
      </c>
      <c r="C348" s="41" t="n"/>
      <c r="D348" s="41" t="n"/>
      <c r="E348" s="41" t="n"/>
      <c r="F348" s="41" t="n"/>
      <c r="G348" s="41" t="n">
        <v>198</v>
      </c>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row>
    <row r="349" ht="15" customHeight="1">
      <c r="A349" t="inlineStr">
        <is>
          <t>FastSpring</t>
        </is>
      </c>
      <c r="C349" s="41" t="n">
        <v>16</v>
      </c>
      <c r="D349" s="41" t="n">
        <v>16</v>
      </c>
      <c r="E349" s="41" t="n">
        <v>16</v>
      </c>
      <c r="F349" s="41" t="n"/>
      <c r="G349" s="41" t="n">
        <v>16</v>
      </c>
      <c r="H349" s="41" t="n">
        <v>16</v>
      </c>
      <c r="I349" s="41" t="n">
        <v>16</v>
      </c>
      <c r="J349" s="41" t="n"/>
      <c r="K349" s="41" t="n"/>
      <c r="L349" s="41" t="n"/>
      <c r="M349" s="41" t="n"/>
      <c r="N349" s="41" t="n"/>
      <c r="O349" s="41" t="n"/>
      <c r="P349" s="41" t="n"/>
      <c r="Q349" s="41" t="n"/>
      <c r="R349" s="41" t="n"/>
      <c r="S349" s="41" t="n"/>
      <c r="T349" s="41" t="n"/>
      <c r="U349" s="41" t="n"/>
      <c r="V349" s="41" t="n"/>
      <c r="W349" s="41" t="n"/>
      <c r="X349" s="41" t="n"/>
      <c r="Y349" s="41" t="n"/>
      <c r="Z349" s="41" t="n"/>
      <c r="AA349" s="41" t="n"/>
    </row>
    <row r="350" ht="15" customHeight="1">
      <c r="A350" t="inlineStr">
        <is>
          <t>Fathom</t>
        </is>
      </c>
      <c r="C350" s="41" t="n">
        <v>15.2</v>
      </c>
      <c r="D350" s="41" t="n">
        <v>19</v>
      </c>
      <c r="E350" s="41" t="n">
        <v>19</v>
      </c>
      <c r="F350" s="41" t="n">
        <v>19</v>
      </c>
      <c r="G350" s="41" t="n">
        <v>20.38</v>
      </c>
      <c r="H350" s="41" t="n">
        <v>20.38</v>
      </c>
      <c r="I350" s="41" t="n">
        <v>20.38</v>
      </c>
      <c r="J350" s="41" t="n"/>
      <c r="K350" s="41" t="n"/>
      <c r="L350" s="41" t="n"/>
      <c r="M350" s="41" t="n"/>
      <c r="N350" s="41" t="n"/>
      <c r="O350" s="41" t="n"/>
      <c r="P350" s="41" t="n"/>
      <c r="Q350" s="41" t="n"/>
      <c r="R350" s="41" t="n"/>
      <c r="S350" s="41" t="n"/>
      <c r="T350" s="41" t="n"/>
      <c r="U350" s="41" t="n"/>
      <c r="V350" s="41" t="n"/>
      <c r="W350" s="41" t="n"/>
      <c r="X350" s="41" t="n"/>
      <c r="Y350" s="41" t="n"/>
      <c r="Z350" s="41" t="n"/>
      <c r="AA350" s="41" t="n"/>
    </row>
    <row r="351" ht="15" customHeight="1">
      <c r="A351" t="inlineStr">
        <is>
          <t>GMASS</t>
        </is>
      </c>
      <c r="C351" s="41" t="n">
        <v>35</v>
      </c>
      <c r="D351" s="41" t="n">
        <v>25</v>
      </c>
      <c r="E351" s="41" t="n">
        <v>25</v>
      </c>
      <c r="F351" s="41" t="n">
        <v>25</v>
      </c>
      <c r="G351" s="41" t="n">
        <v>25</v>
      </c>
      <c r="H351" s="41" t="n"/>
      <c r="I351" s="41" t="n">
        <v>25</v>
      </c>
      <c r="J351" s="41" t="n"/>
      <c r="K351" s="41" t="n"/>
      <c r="L351" s="41" t="n"/>
      <c r="M351" s="41" t="n"/>
      <c r="N351" s="41" t="n"/>
      <c r="O351" s="41" t="n"/>
      <c r="P351" s="41" t="n"/>
      <c r="Q351" s="41" t="n"/>
      <c r="R351" s="41" t="n"/>
      <c r="S351" s="41" t="n"/>
      <c r="T351" s="41" t="n"/>
      <c r="U351" s="41" t="n"/>
      <c r="V351" s="41" t="n"/>
      <c r="W351" s="41" t="n"/>
      <c r="X351" s="41" t="n"/>
      <c r="Y351" s="41" t="n"/>
      <c r="Z351" s="41" t="n"/>
      <c r="AA351" s="41" t="n"/>
    </row>
    <row r="352" ht="15" customHeight="1">
      <c r="A352" t="inlineStr">
        <is>
          <t>GoDaddy</t>
        </is>
      </c>
      <c r="C352" s="41" t="n"/>
      <c r="D352" s="41" t="n">
        <v>22.17</v>
      </c>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row>
    <row r="353" ht="15" customHeight="1">
      <c r="A353" t="inlineStr">
        <is>
          <t>Google LLC</t>
        </is>
      </c>
      <c r="C353" s="41" t="n">
        <v>262.55</v>
      </c>
      <c r="D353" s="41" t="n">
        <v>283.66</v>
      </c>
      <c r="E353" s="41" t="n">
        <v>282.46</v>
      </c>
      <c r="F353" s="41" t="n">
        <v>293.43</v>
      </c>
      <c r="G353" s="41" t="n">
        <v>395.01</v>
      </c>
      <c r="H353" s="41" t="n">
        <v>277.99</v>
      </c>
      <c r="I353" s="41" t="n">
        <v>277.99</v>
      </c>
      <c r="J353" s="41" t="n"/>
      <c r="K353" s="41" t="n"/>
      <c r="L353" s="41" t="n"/>
      <c r="M353" s="41" t="n"/>
      <c r="N353" s="41" t="n"/>
      <c r="O353" s="41" t="n"/>
      <c r="P353" s="41" t="n"/>
      <c r="Q353" s="41" t="n"/>
      <c r="R353" s="41" t="n"/>
      <c r="S353" s="41" t="n"/>
      <c r="T353" s="41" t="n"/>
      <c r="U353" s="41" t="n"/>
      <c r="V353" s="41" t="n"/>
      <c r="W353" s="41" t="n"/>
      <c r="X353" s="41" t="n"/>
      <c r="Y353" s="41" t="n"/>
      <c r="Z353" s="41" t="n"/>
      <c r="AA353" s="41" t="n"/>
    </row>
    <row r="354" ht="15" customHeight="1">
      <c r="A354" t="inlineStr">
        <is>
          <t>GOPRO.COM</t>
        </is>
      </c>
      <c r="C354" s="41" t="n"/>
      <c r="D354" s="41" t="n"/>
      <c r="E354" s="41" t="n"/>
      <c r="F354" s="41" t="n"/>
      <c r="G354" s="41" t="n"/>
      <c r="H354" s="41" t="n">
        <v>49.99</v>
      </c>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row>
    <row r="355" ht="15" customHeight="1">
      <c r="A355" t="inlineStr">
        <is>
          <t>High Level, Inc</t>
        </is>
      </c>
      <c r="C355" s="41" t="n">
        <v>10</v>
      </c>
      <c r="D355" s="41" t="n"/>
      <c r="E355" s="41" t="n"/>
      <c r="F355" s="41" t="n"/>
      <c r="G355" s="41" t="n">
        <v>104.04</v>
      </c>
      <c r="H355" s="41" t="n">
        <v>124.05</v>
      </c>
      <c r="I355" s="41" t="n">
        <v>104.04</v>
      </c>
      <c r="J355" s="41" t="n"/>
      <c r="K355" s="41" t="n"/>
      <c r="L355" s="41" t="n"/>
      <c r="M355" s="41" t="n"/>
      <c r="N355" s="41" t="n"/>
      <c r="O355" s="41" t="n"/>
      <c r="P355" s="41" t="n"/>
      <c r="Q355" s="41" t="n"/>
      <c r="R355" s="41" t="n"/>
      <c r="S355" s="41" t="n"/>
      <c r="T355" s="41" t="n"/>
      <c r="U355" s="41" t="n"/>
      <c r="V355" s="41" t="n"/>
      <c r="W355" s="41" t="n"/>
      <c r="X355" s="41" t="n"/>
      <c r="Y355" s="41" t="n"/>
      <c r="Z355" s="41" t="n"/>
      <c r="AA355" s="41" t="n"/>
    </row>
    <row r="356" ht="15" customHeight="1">
      <c r="A356" t="inlineStr">
        <is>
          <t>Hubstaff.com</t>
        </is>
      </c>
      <c r="C356" s="41" t="n">
        <v>772.2</v>
      </c>
      <c r="D356" s="41" t="n">
        <v>735.71</v>
      </c>
      <c r="E356" s="41" t="n">
        <v>815.25</v>
      </c>
      <c r="F356" s="41" t="n">
        <v>805.3099999999999</v>
      </c>
      <c r="G356" s="41" t="n">
        <v>815.25</v>
      </c>
      <c r="H356" s="41" t="n">
        <v>815.25</v>
      </c>
      <c r="I356" s="41" t="n">
        <v>845.0700000000001</v>
      </c>
      <c r="J356" s="41" t="n"/>
      <c r="K356" s="41" t="n"/>
      <c r="L356" s="41" t="n"/>
      <c r="M356" s="41" t="n"/>
      <c r="N356" s="41" t="n"/>
      <c r="O356" s="41" t="n"/>
      <c r="P356" s="41" t="n"/>
      <c r="Q356" s="41" t="n"/>
      <c r="R356" s="41" t="n"/>
      <c r="S356" s="41" t="n"/>
      <c r="T356" s="41" t="n"/>
      <c r="U356" s="41" t="n"/>
      <c r="V356" s="41" t="n"/>
      <c r="W356" s="41" t="n"/>
      <c r="X356" s="41" t="n"/>
      <c r="Y356" s="41" t="n"/>
      <c r="Z356" s="41" t="n"/>
      <c r="AA356" s="41" t="n"/>
    </row>
    <row r="357" ht="15" customHeight="1">
      <c r="A357" t="inlineStr">
        <is>
          <t>Lemon Squeezy, LLC.</t>
        </is>
      </c>
      <c r="C357" s="41" t="n">
        <v>106.18</v>
      </c>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row>
    <row r="358" ht="15" customHeight="1">
      <c r="A358" t="inlineStr">
        <is>
          <t>Magic Studios, LLC</t>
        </is>
      </c>
      <c r="C358" s="41" t="n"/>
      <c r="D358" s="41" t="n"/>
      <c r="E358" s="41" t="n">
        <v>39</v>
      </c>
      <c r="F358" s="41" t="n">
        <v>39</v>
      </c>
      <c r="G358" s="41" t="n">
        <v>39</v>
      </c>
      <c r="H358" s="41" t="n">
        <v>39</v>
      </c>
      <c r="I358" s="41" t="n">
        <v>39</v>
      </c>
      <c r="J358" s="41" t="n"/>
      <c r="K358" s="41" t="n"/>
      <c r="L358" s="41" t="n"/>
      <c r="M358" s="41" t="n"/>
      <c r="N358" s="41" t="n"/>
      <c r="O358" s="41" t="n"/>
      <c r="P358" s="41" t="n"/>
      <c r="Q358" s="41" t="n"/>
      <c r="R358" s="41" t="n"/>
      <c r="S358" s="41" t="n"/>
      <c r="T358" s="41" t="n"/>
      <c r="U358" s="41" t="n"/>
      <c r="V358" s="41" t="n"/>
      <c r="W358" s="41" t="n"/>
      <c r="X358" s="41" t="n"/>
      <c r="Y358" s="41" t="n"/>
      <c r="Z358" s="41" t="n"/>
      <c r="AA358" s="41" t="n"/>
    </row>
    <row r="359" ht="15" customHeight="1">
      <c r="A359" t="inlineStr">
        <is>
          <t>MailChimp</t>
        </is>
      </c>
      <c r="C359" s="41" t="n"/>
      <c r="D359" s="41" t="n">
        <v>104.81</v>
      </c>
      <c r="E359" s="41" t="n">
        <v>104.81</v>
      </c>
      <c r="F359" s="41" t="n"/>
      <c r="G359" s="41" t="n">
        <v>104.81</v>
      </c>
      <c r="H359" s="41" t="n">
        <v>40.31</v>
      </c>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row>
    <row r="360" ht="15" customHeight="1">
      <c r="A360" t="inlineStr">
        <is>
          <t>Meet5Star VAs, LLC</t>
        </is>
      </c>
      <c r="C360" s="41" t="n"/>
      <c r="D360" s="41" t="n">
        <v>-300</v>
      </c>
      <c r="E360" s="41" t="n">
        <v>-22.17</v>
      </c>
      <c r="F360" s="41" t="n"/>
      <c r="G360" s="41" t="n"/>
      <c r="H360" s="41" t="n">
        <v>-9.91</v>
      </c>
      <c r="I360" s="41" t="n">
        <v>-10.21</v>
      </c>
      <c r="J360" s="41" t="n"/>
      <c r="K360" s="41" t="n"/>
      <c r="L360" s="41" t="n"/>
      <c r="M360" s="41" t="n"/>
      <c r="N360" s="41" t="n"/>
      <c r="O360" s="41" t="n"/>
      <c r="P360" s="41" t="n"/>
      <c r="Q360" s="41" t="n"/>
      <c r="R360" s="41" t="n"/>
      <c r="S360" s="41" t="n"/>
      <c r="T360" s="41" t="n"/>
      <c r="U360" s="41" t="n"/>
      <c r="V360" s="41" t="n"/>
      <c r="W360" s="41" t="n"/>
      <c r="X360" s="41" t="n"/>
      <c r="Y360" s="41" t="n"/>
      <c r="Z360" s="41" t="n"/>
      <c r="AA360" s="41" t="n"/>
    </row>
    <row r="361" ht="15" customHeight="1">
      <c r="A361" t="inlineStr">
        <is>
          <t>Microsoft</t>
        </is>
      </c>
      <c r="C361" s="41" t="n">
        <v>8.84</v>
      </c>
      <c r="D361" s="41" t="n">
        <v>8.84</v>
      </c>
      <c r="E361" s="41" t="n">
        <v>8.84</v>
      </c>
      <c r="F361" s="41" t="n">
        <v>8.84</v>
      </c>
      <c r="G361" s="41" t="n">
        <v>8.84</v>
      </c>
      <c r="H361" s="41" t="n">
        <v>8.84</v>
      </c>
      <c r="I361" s="41" t="n">
        <v>8.84</v>
      </c>
      <c r="J361" s="41" t="n"/>
      <c r="K361" s="41" t="n"/>
      <c r="L361" s="41" t="n"/>
      <c r="M361" s="41" t="n"/>
      <c r="N361" s="41" t="n"/>
      <c r="O361" s="41" t="n"/>
      <c r="P361" s="41" t="n"/>
      <c r="Q361" s="41" t="n"/>
      <c r="R361" s="41" t="n"/>
      <c r="S361" s="41" t="n"/>
      <c r="T361" s="41" t="n"/>
      <c r="U361" s="41" t="n"/>
      <c r="V361" s="41" t="n"/>
      <c r="W361" s="41" t="n"/>
      <c r="X361" s="41" t="n"/>
      <c r="Y361" s="41" t="n"/>
      <c r="Z361" s="41" t="n"/>
      <c r="AA361" s="41" t="n"/>
    </row>
    <row r="362" ht="15" customHeight="1">
      <c r="A362" t="inlineStr">
        <is>
          <t>Paddle.com Market Limited</t>
        </is>
      </c>
      <c r="C362" s="41" t="n"/>
      <c r="D362" s="41" t="n"/>
      <c r="E362" s="41" t="n"/>
      <c r="F362" s="41" t="n"/>
      <c r="G362" s="41" t="n">
        <v>0</v>
      </c>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row>
    <row r="363" ht="15" customHeight="1">
      <c r="A363" t="inlineStr">
        <is>
          <t>PDFSIMPLI.COM</t>
        </is>
      </c>
      <c r="C363" s="41" t="n"/>
      <c r="D363" s="41" t="n"/>
      <c r="E363" s="41" t="n"/>
      <c r="F363" s="41" t="n"/>
      <c r="G363" s="41" t="n">
        <v>1.95</v>
      </c>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row>
    <row r="364" ht="15" customHeight="1">
      <c r="A364" t="inlineStr">
        <is>
          <t>QUICKBOOKS</t>
        </is>
      </c>
      <c r="C364" s="41" t="n"/>
      <c r="D364" s="41" t="n">
        <v>64.34999999999999</v>
      </c>
      <c r="E364" s="41" t="n">
        <v>69.70999999999999</v>
      </c>
      <c r="F364" s="41" t="n">
        <v>69.70999999999999</v>
      </c>
      <c r="G364" s="41" t="n">
        <v>69.70999999999999</v>
      </c>
      <c r="H364" s="41" t="n">
        <v>69.70999999999999</v>
      </c>
      <c r="I364" s="41" t="n">
        <v>69.70999999999999</v>
      </c>
      <c r="J364" s="41" t="n"/>
      <c r="K364" s="41" t="n"/>
      <c r="L364" s="41" t="n"/>
      <c r="M364" s="41" t="n"/>
      <c r="N364" s="41" t="n"/>
      <c r="O364" s="41" t="n"/>
      <c r="P364" s="41" t="n"/>
      <c r="Q364" s="41" t="n"/>
      <c r="R364" s="41" t="n"/>
      <c r="S364" s="41" t="n"/>
      <c r="T364" s="41" t="n"/>
      <c r="U364" s="41" t="n"/>
      <c r="V364" s="41" t="n"/>
      <c r="W364" s="41" t="n"/>
      <c r="X364" s="41" t="n"/>
      <c r="Y364" s="41" t="n"/>
      <c r="Z364" s="41" t="n"/>
      <c r="AA364" s="41" t="n"/>
    </row>
    <row r="365" ht="15" customHeight="1">
      <c r="A365" t="inlineStr">
        <is>
          <t>SEO POWERSUITE</t>
        </is>
      </c>
      <c r="C365" s="41" t="n"/>
      <c r="D365" s="41" t="n"/>
      <c r="E365" s="41" t="n"/>
      <c r="F365" s="41" t="n"/>
      <c r="G365" s="41" t="n"/>
      <c r="H365" s="41" t="n"/>
      <c r="I365" s="41" t="n">
        <v>159.8</v>
      </c>
      <c r="J365" s="41" t="n"/>
      <c r="K365" s="41" t="n"/>
      <c r="L365" s="41" t="n"/>
      <c r="M365" s="41" t="n"/>
      <c r="N365" s="41" t="n"/>
      <c r="O365" s="41" t="n"/>
      <c r="P365" s="41" t="n"/>
      <c r="Q365" s="41" t="n"/>
      <c r="R365" s="41" t="n"/>
      <c r="S365" s="41" t="n"/>
      <c r="T365" s="41" t="n"/>
      <c r="U365" s="41" t="n"/>
      <c r="V365" s="41" t="n"/>
      <c r="W365" s="41" t="n"/>
      <c r="X365" s="41" t="n"/>
      <c r="Y365" s="41" t="n"/>
      <c r="Z365" s="41" t="n"/>
      <c r="AA365" s="41" t="n"/>
    </row>
    <row r="366" ht="15" customHeight="1">
      <c r="A366" t="inlineStr">
        <is>
          <t>STREAMYARD</t>
        </is>
      </c>
      <c r="C366" s="41" t="n"/>
      <c r="D366" s="41" t="n"/>
      <c r="E366" s="41" t="n">
        <v>25</v>
      </c>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row>
    <row r="367" ht="15" customHeight="1">
      <c r="A367" t="inlineStr">
        <is>
          <t>Teamwork.com</t>
        </is>
      </c>
      <c r="C367" s="41" t="n">
        <v>1037.5</v>
      </c>
      <c r="D367" s="41" t="n">
        <v>1077.85</v>
      </c>
      <c r="E367" s="41" t="n">
        <v>1077.23</v>
      </c>
      <c r="F367" s="41" t="n">
        <v>1152.78</v>
      </c>
      <c r="G367" s="41" t="n">
        <v>1174.72</v>
      </c>
      <c r="H367" s="41" t="n">
        <v>1203.06</v>
      </c>
      <c r="I367" s="41" t="n">
        <v>1231.12</v>
      </c>
      <c r="J367" s="41" t="n"/>
      <c r="K367" s="41" t="n"/>
      <c r="L367" s="41" t="n"/>
      <c r="M367" s="41" t="n"/>
      <c r="N367" s="41" t="n"/>
      <c r="O367" s="41" t="n"/>
      <c r="P367" s="41" t="n"/>
      <c r="Q367" s="41" t="n"/>
      <c r="R367" s="41" t="n"/>
      <c r="S367" s="41" t="n"/>
      <c r="T367" s="41" t="n"/>
      <c r="U367" s="41" t="n"/>
      <c r="V367" s="41" t="n"/>
      <c r="W367" s="41" t="n"/>
      <c r="X367" s="41" t="n"/>
      <c r="Y367" s="41" t="n"/>
      <c r="Z367" s="41" t="n"/>
      <c r="AA367" s="41" t="n"/>
    </row>
    <row r="368" ht="15" customHeight="1">
      <c r="A368" t="inlineStr">
        <is>
          <t>THE ALL IN COMPANY</t>
        </is>
      </c>
      <c r="C368" s="41" t="n"/>
      <c r="D368" s="41" t="n"/>
      <c r="E368" s="41" t="n"/>
      <c r="F368" s="41" t="n"/>
      <c r="G368" s="41" t="n">
        <v>3000</v>
      </c>
      <c r="H368" s="41" t="n">
        <v>1250</v>
      </c>
      <c r="I368" s="41" t="n">
        <v>1250</v>
      </c>
      <c r="J368" s="41" t="n"/>
      <c r="K368" s="41" t="n"/>
      <c r="L368" s="41" t="n"/>
      <c r="M368" s="41" t="n"/>
      <c r="N368" s="41" t="n"/>
      <c r="O368" s="41" t="n"/>
      <c r="P368" s="41" t="n"/>
      <c r="Q368" s="41" t="n"/>
      <c r="R368" s="41" t="n"/>
      <c r="S368" s="41" t="n"/>
      <c r="T368" s="41" t="n"/>
      <c r="U368" s="41" t="n"/>
      <c r="V368" s="41" t="n"/>
      <c r="W368" s="41" t="n"/>
      <c r="X368" s="41" t="n"/>
      <c r="Y368" s="41" t="n"/>
      <c r="Z368" s="41" t="n"/>
      <c r="AA368" s="41" t="n"/>
    </row>
    <row r="369" ht="15" customHeight="1">
      <c r="A369" t="inlineStr">
        <is>
          <t>Tube Buddy</t>
        </is>
      </c>
      <c r="C369" s="41" t="n">
        <v>50.99</v>
      </c>
      <c r="D369" s="41" t="n">
        <v>5.99</v>
      </c>
      <c r="E369" s="41" t="n">
        <v>5.99</v>
      </c>
      <c r="F369" s="41" t="n">
        <v>5.99</v>
      </c>
      <c r="G369" s="41" t="n">
        <v>5.99</v>
      </c>
      <c r="H369" s="41" t="n">
        <v>5.99</v>
      </c>
      <c r="I369" s="41" t="n">
        <v>5.99</v>
      </c>
      <c r="J369" s="41" t="n"/>
      <c r="K369" s="41" t="n"/>
      <c r="L369" s="41" t="n"/>
      <c r="M369" s="41" t="n"/>
      <c r="N369" s="41" t="n"/>
      <c r="O369" s="41" t="n"/>
      <c r="P369" s="41" t="n"/>
      <c r="Q369" s="41" t="n"/>
      <c r="R369" s="41" t="n"/>
      <c r="S369" s="41" t="n"/>
      <c r="T369" s="41" t="n"/>
      <c r="U369" s="41" t="n"/>
      <c r="V369" s="41" t="n"/>
      <c r="W369" s="41" t="n"/>
      <c r="X369" s="41" t="n"/>
      <c r="Y369" s="41" t="n"/>
      <c r="Z369" s="41" t="n"/>
      <c r="AA369" s="41" t="n"/>
    </row>
    <row r="370" ht="15" customHeight="1">
      <c r="A370" t="inlineStr">
        <is>
          <t>Wise</t>
        </is>
      </c>
      <c r="C370" s="41" t="n"/>
      <c r="D370" s="41" t="n">
        <v>8.619999999999999</v>
      </c>
      <c r="E370" s="41" t="n">
        <v>8.94</v>
      </c>
      <c r="F370" s="41" t="n">
        <v>9.01</v>
      </c>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row>
    <row r="371" ht="15" customHeight="1">
      <c r="A371" t="inlineStr">
        <is>
          <t>Wordpress</t>
        </is>
      </c>
      <c r="C371" s="41" t="n">
        <v>300</v>
      </c>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row>
    <row r="372" ht="15" customHeight="1">
      <c r="A372" t="inlineStr">
        <is>
          <t>ZAPIER.COM</t>
        </is>
      </c>
      <c r="C372" s="41" t="n">
        <v>29.99</v>
      </c>
      <c r="D372" s="41" t="n">
        <v>32.16</v>
      </c>
      <c r="E372" s="41" t="n">
        <v>32.16</v>
      </c>
      <c r="F372" s="41" t="n">
        <v>32.16</v>
      </c>
      <c r="G372" s="41" t="n">
        <v>32.16</v>
      </c>
      <c r="H372" s="41" t="n">
        <v>32.16</v>
      </c>
      <c r="I372" s="41" t="n">
        <v>32.16</v>
      </c>
      <c r="J372" s="41" t="n"/>
      <c r="K372" s="41" t="n"/>
      <c r="L372" s="41" t="n"/>
      <c r="M372" s="41" t="n"/>
      <c r="N372" s="41" t="n"/>
      <c r="O372" s="41" t="n"/>
      <c r="P372" s="41" t="n"/>
      <c r="Q372" s="41" t="n"/>
      <c r="R372" s="41" t="n"/>
      <c r="S372" s="41" t="n"/>
      <c r="T372" s="41" t="n"/>
      <c r="U372" s="41" t="n"/>
      <c r="V372" s="41" t="n"/>
      <c r="W372" s="41" t="n"/>
      <c r="X372" s="41" t="n"/>
      <c r="Y372" s="41" t="n"/>
      <c r="Z372" s="41" t="n"/>
      <c r="AA372" s="41" t="n"/>
    </row>
    <row r="373" ht="15" customHeight="1">
      <c r="A373" t="inlineStr">
        <is>
          <t>Zoom</t>
        </is>
      </c>
      <c r="C373" s="41" t="n">
        <v>125.52</v>
      </c>
      <c r="D373" s="41" t="n">
        <v>300.88</v>
      </c>
      <c r="E373" s="41" t="n">
        <v>-113.52</v>
      </c>
      <c r="F373" s="41" t="n">
        <v>277.74</v>
      </c>
      <c r="G373" s="41" t="n">
        <v>116.42</v>
      </c>
      <c r="H373" s="41" t="n">
        <v>118.13</v>
      </c>
      <c r="I373" s="41" t="n">
        <v>108.25</v>
      </c>
      <c r="J373" s="41" t="n"/>
      <c r="K373" s="41" t="n"/>
      <c r="L373" s="41" t="n"/>
      <c r="M373" s="41" t="n"/>
      <c r="N373" s="41" t="n"/>
      <c r="O373" s="41" t="n"/>
      <c r="P373" s="41" t="n"/>
      <c r="Q373" s="41" t="n"/>
      <c r="R373" s="41" t="n"/>
      <c r="S373" s="41" t="n"/>
      <c r="T373" s="41" t="n"/>
      <c r="U373" s="41" t="n"/>
      <c r="V373" s="41" t="n"/>
      <c r="W373" s="41" t="n"/>
      <c r="X373" s="41" t="n"/>
      <c r="Y373" s="41" t="n"/>
      <c r="Z373" s="41" t="n"/>
      <c r="AA373" s="41" t="n"/>
    </row>
    <row r="374" ht="15" customHeight="1">
      <c r="A374" t="inlineStr">
        <is>
          <t>Unknown</t>
        </is>
      </c>
      <c r="C374" s="41" t="n"/>
      <c r="D374" s="41" t="n"/>
      <c r="E374" s="41" t="n"/>
      <c r="F374" s="41" t="n">
        <v>240</v>
      </c>
      <c r="G374" s="41" t="n">
        <v>7.04000000000001</v>
      </c>
      <c r="H374" s="41" t="n">
        <v>8.66</v>
      </c>
      <c r="I374" s="41" t="n">
        <v>8.57</v>
      </c>
      <c r="J374" s="41" t="n">
        <v>4349.11</v>
      </c>
      <c r="K374" s="41" t="n">
        <v>4514.1</v>
      </c>
      <c r="L374" s="41" t="n">
        <v>2655.82</v>
      </c>
      <c r="M374" s="41" t="n">
        <v>2870.3</v>
      </c>
      <c r="N374" s="41" t="n">
        <v>2739.59</v>
      </c>
      <c r="O374" s="41" t="n">
        <v>3233.03</v>
      </c>
      <c r="P374" s="41" t="n">
        <v>2659.33</v>
      </c>
      <c r="Q374" s="41" t="n">
        <v>2796.73</v>
      </c>
      <c r="R374" s="41" t="n">
        <v>4594.07</v>
      </c>
      <c r="S374" s="41" t="n">
        <v>5718.39</v>
      </c>
      <c r="T374" s="41" t="n">
        <v>2722.51</v>
      </c>
      <c r="U374" s="41" t="n">
        <v>3735.83</v>
      </c>
      <c r="V374" s="41" t="n">
        <v>3064.54</v>
      </c>
      <c r="W374" s="41" t="n">
        <v>3105.88</v>
      </c>
      <c r="X374" s="41" t="n">
        <v>2268.9</v>
      </c>
      <c r="Y374" s="41" t="n">
        <v>2373.21</v>
      </c>
      <c r="Z374" s="41" t="n">
        <v>2688.77</v>
      </c>
      <c r="AA374" s="41" t="n">
        <v>3142.1</v>
      </c>
    </row>
    <row r="375" ht="15" customHeight="1">
      <c r="A375" t="inlineStr">
        <is>
          <t>Total</t>
        </is>
      </c>
      <c r="C375" s="41">
        <f>SUM(C339:C374)</f>
        <v>3182.0399999999995</v>
      </c>
      <c r="D375" s="41">
        <f>SUM(D339:D374)</f>
        <v>2520.5699999999997</v>
      </c>
      <c r="E375" s="41">
        <f>SUM(E339:E374)</f>
        <v>2499.4799999999996</v>
      </c>
      <c r="F375" s="41">
        <f>SUM(F339:F374)</f>
        <v>3233</v>
      </c>
      <c r="G375" s="41">
        <f>SUM(G339:G374)</f>
        <v>6222.2699999999995</v>
      </c>
      <c r="H375" s="41">
        <f>SUM(H339:H374)</f>
        <v>4193.6999999999989</v>
      </c>
      <c r="I375" s="41">
        <f>SUM(I339:I374)</f>
        <v>4377.5099999999993</v>
      </c>
      <c r="J375" s="41">
        <f>SUM(J339:J374)</f>
        <v>4349.1099999999997</v>
      </c>
      <c r="K375" s="41">
        <f>SUM(K339:K374)</f>
        <v>4514.1000000000004</v>
      </c>
      <c r="L375" s="41">
        <f>SUM(L339:L374)</f>
        <v>2655.8200000000002</v>
      </c>
      <c r="M375" s="41">
        <f>SUM(M339:M374)</f>
        <v>2870.3000000000002</v>
      </c>
      <c r="N375" s="41">
        <f>SUM(N339:N374)</f>
        <v>2739.5900000000001</v>
      </c>
      <c r="O375" s="41">
        <f>SUM(O339:O374)</f>
        <v>3233.0300000000002</v>
      </c>
      <c r="P375" s="41">
        <f>SUM(P339:P374)</f>
        <v>2659.3299999999999</v>
      </c>
      <c r="Q375" s="41">
        <f>SUM(Q339:Q374)</f>
        <v>2796.73</v>
      </c>
      <c r="R375" s="41">
        <f>SUM(R339:R374)</f>
        <v>4594.0699999999997</v>
      </c>
      <c r="S375" s="41">
        <f>SUM(S339:S374)</f>
        <v>5718.3900000000003</v>
      </c>
      <c r="T375" s="41">
        <f>SUM(T339:T374)</f>
        <v>2722.5100000000002</v>
      </c>
      <c r="U375" s="41">
        <f>SUM(U339:U374)</f>
        <v>3735.8299999999999</v>
      </c>
      <c r="V375" s="41">
        <f>SUM(V339:V374)</f>
        <v>3064.54</v>
      </c>
      <c r="W375" s="41">
        <f>SUM(W339:W374)</f>
        <v>3105.8800000000001</v>
      </c>
      <c r="X375" s="41">
        <f>SUM(X339:X374)</f>
        <v>2268.9000000000001</v>
      </c>
      <c r="Y375" s="41">
        <f>SUM(Y339:Y374)</f>
        <v>2373.21</v>
      </c>
      <c r="Z375" s="41">
        <f>SUM(Z339:Z374)</f>
        <v>2688.77</v>
      </c>
      <c r="AA375" s="41">
        <f>SUM(AA339:AA374)</f>
        <v>3142.0999999999999</v>
      </c>
    </row>
    <row r="376" ht="15" customHeight="1">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row>
    <row r="377" ht="15" customHeight="1">
      <c r="A377" t="inlineStr">
        <is>
          <t>Top 5 Known Vendors</t>
        </is>
      </c>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row>
    <row r="378" ht="15" customHeight="1">
      <c r="A378" t="inlineStr">
        <is>
          <t>Teamwork.com</t>
        </is>
      </c>
      <c r="C378" s="41">
        <f>+INDEX(C$339:C$375,MATCH($A378,$A$339:$A$375,0))</f>
        <v>1037.5</v>
      </c>
      <c r="D378" s="41">
        <f>+INDEX(D$339:D$375,MATCH($A378,$A$339:$A$375,0))</f>
        <v>1077.8499999999999</v>
      </c>
      <c r="E378" s="41">
        <f>+INDEX(E$339:E$375,MATCH($A378,$A$339:$A$375,0))</f>
        <v>1077.23</v>
      </c>
      <c r="F378" s="41">
        <f>+INDEX(F$339:F$375,MATCH($A378,$A$339:$A$375,0))</f>
        <v>1152.78</v>
      </c>
      <c r="G378" s="41">
        <f>+INDEX(G$339:G$375,MATCH($A378,$A$339:$A$375,0))</f>
        <v>1174.72</v>
      </c>
      <c r="H378" s="41">
        <f>+INDEX(H$339:H$375,MATCH($A378,$A$339:$A$375,0))</f>
        <v>1203.0599999999999</v>
      </c>
      <c r="I378" s="41">
        <f>+INDEX(I$339:I$375,MATCH($A378,$A$339:$A$375,0))</f>
        <v>1231.1199999999999</v>
      </c>
      <c r="J378" s="41">
        <f>AVERAGE(F378:I378)</f>
        <v>1190.4200000000001</v>
      </c>
      <c r="K378" s="41">
        <f>AVERAGE(G378:J378)</f>
        <v>1199.8299999999999</v>
      </c>
      <c r="L378" s="41">
        <f>AVERAGE(H378:K378)</f>
        <v>1206.1075000000001</v>
      </c>
      <c r="M378" s="41">
        <f>AVERAGE(I378:L378)</f>
        <v>1206.869375</v>
      </c>
      <c r="N378" s="41">
        <f>AVERAGE(J378:M378)</f>
        <v>1200.8067187500001</v>
      </c>
      <c r="O378" s="41">
        <f>AVERAGE(K378:N378)</f>
        <v>1203.4033984375001</v>
      </c>
      <c r="P378" s="41">
        <f>AVERAGE(L378:O378)</f>
        <v>1204.2967480468751</v>
      </c>
      <c r="Q378" s="41">
        <f>AVERAGE(M378:P378)</f>
        <v>1203.8440600585939</v>
      </c>
      <c r="R378" s="41">
        <f>AVERAGE(N378:Q378)</f>
        <v>1203.0877313232422</v>
      </c>
      <c r="S378" s="41">
        <f>AVERAGE(O378:R378)</f>
        <v>1203.6579844665528</v>
      </c>
      <c r="T378" s="41">
        <f>AVERAGE(P378:S378)</f>
        <v>1203.721630973816</v>
      </c>
      <c r="U378" s="41">
        <f>AVERAGE(Q378:T378)</f>
        <v>1203.5778517055512</v>
      </c>
      <c r="V378" s="41">
        <f>AVERAGE(R378:U378)</f>
        <v>1203.5112996172907</v>
      </c>
      <c r="W378" s="41">
        <f>AVERAGE(S378:V378)</f>
        <v>1203.6171916908029</v>
      </c>
      <c r="X378" s="41">
        <f>AVERAGE(T378:W378)</f>
        <v>1203.6069934968652</v>
      </c>
      <c r="Y378" s="41">
        <f>AVERAGE(U378:X378)</f>
        <v>1203.5783341276274</v>
      </c>
      <c r="Z378" s="41">
        <f>AVERAGE(V378:Y378)</f>
        <v>1203.5784547331466</v>
      </c>
      <c r="AA378" s="41">
        <f>AVERAGE(W378:Z378)</f>
        <v>1203.5952435121105</v>
      </c>
    </row>
    <row r="379" ht="15" customHeight="1">
      <c r="A379" t="inlineStr">
        <is>
          <t>Hubstaff.com</t>
        </is>
      </c>
      <c r="C379" s="41">
        <f>+INDEX(C$339:C$375,MATCH($A379,$A$339:$A$375,0))</f>
        <v>772.20000000000005</v>
      </c>
      <c r="D379" s="41">
        <f>+INDEX(D$339:D$375,MATCH($A379,$A$339:$A$375,0))</f>
        <v>735.71000000000004</v>
      </c>
      <c r="E379" s="41">
        <f>+INDEX(E$339:E$375,MATCH($A379,$A$339:$A$375,0))</f>
        <v>815.25</v>
      </c>
      <c r="F379" s="41">
        <f>+INDEX(F$339:F$375,MATCH($A379,$A$339:$A$375,0))</f>
        <v>805.30999999999995</v>
      </c>
      <c r="G379" s="41">
        <f>+INDEX(G$339:G$375,MATCH($A379,$A$339:$A$375,0))</f>
        <v>815.25</v>
      </c>
      <c r="H379" s="41">
        <f>+INDEX(H$339:H$375,MATCH($A379,$A$339:$A$375,0))</f>
        <v>815.25</v>
      </c>
      <c r="I379" s="41">
        <f>+INDEX(I$339:I$375,MATCH($A379,$A$339:$A$375,0))</f>
        <v>845.07000000000005</v>
      </c>
      <c r="J379" s="41">
        <f>AVERAGE(F379:I379)</f>
        <v>820.22000000000003</v>
      </c>
      <c r="K379" s="41">
        <f>AVERAGE(G379:J379)</f>
        <v>823.94749999999999</v>
      </c>
      <c r="L379" s="41">
        <f>AVERAGE(H379:K379)</f>
        <v>826.12187500000005</v>
      </c>
      <c r="M379" s="41">
        <f>AVERAGE(I379:L379)</f>
        <v>828.83984375</v>
      </c>
      <c r="N379" s="41">
        <f>AVERAGE(J379:M379)</f>
        <v>824.78230468750007</v>
      </c>
      <c r="O379" s="41">
        <f>AVERAGE(K379:N379)</f>
        <v>825.92288085937503</v>
      </c>
      <c r="P379" s="41">
        <f>AVERAGE(L379:O379)</f>
        <v>826.41672607421879</v>
      </c>
      <c r="Q379" s="41">
        <f>AVERAGE(M379:P379)</f>
        <v>826.49043884277353</v>
      </c>
      <c r="R379" s="41">
        <f>AVERAGE(N379:Q379)</f>
        <v>825.90308761596691</v>
      </c>
      <c r="S379" s="41">
        <f>AVERAGE(O379:R379)</f>
        <v>826.18328334808348</v>
      </c>
      <c r="T379" s="41">
        <f>AVERAGE(P379:S379)</f>
        <v>826.24838397026065</v>
      </c>
      <c r="U379" s="41">
        <f>AVERAGE(Q379:T379)</f>
        <v>826.20629844427117</v>
      </c>
      <c r="V379" s="41">
        <f>AVERAGE(R379:U379)</f>
        <v>826.13526334464541</v>
      </c>
      <c r="W379" s="41">
        <f>AVERAGE(S379:V379)</f>
        <v>826.19330727681518</v>
      </c>
      <c r="X379" s="41">
        <f>AVERAGE(T379:W379)</f>
        <v>826.1958132589981</v>
      </c>
      <c r="Y379" s="41">
        <f>AVERAGE(U379:X379)</f>
        <v>826.18267058118249</v>
      </c>
      <c r="Z379" s="41">
        <f>AVERAGE(V379:Y379)</f>
        <v>826.17676361541021</v>
      </c>
      <c r="AA379" s="41">
        <f>AVERAGE(W379:Z379)</f>
        <v>826.18713868310147</v>
      </c>
    </row>
    <row r="380" ht="15" customHeight="1">
      <c r="A380" t="inlineStr">
        <is>
          <t>Google LLC</t>
        </is>
      </c>
      <c r="C380" s="41">
        <f>+INDEX(C$339:C$375,MATCH($A380,$A$339:$A$375,0))</f>
        <v>262.55000000000001</v>
      </c>
      <c r="D380" s="41">
        <f>+INDEX(D$339:D$375,MATCH($A380,$A$339:$A$375,0))</f>
        <v>283.66000000000003</v>
      </c>
      <c r="E380" s="41">
        <f>+INDEX(E$339:E$375,MATCH($A380,$A$339:$A$375,0))</f>
        <v>282.45999999999998</v>
      </c>
      <c r="F380" s="41">
        <f>+INDEX(F$339:F$375,MATCH($A380,$A$339:$A$375,0))</f>
        <v>293.43000000000001</v>
      </c>
      <c r="G380" s="41">
        <f>+INDEX(G$339:G$375,MATCH($A380,$A$339:$A$375,0))</f>
        <v>395.00999999999999</v>
      </c>
      <c r="H380" s="41">
        <f>+INDEX(H$339:H$375,MATCH($A380,$A$339:$A$375,0))</f>
        <v>277.99000000000001</v>
      </c>
      <c r="I380" s="41">
        <f>+INDEX(I$339:I$375,MATCH($A380,$A$339:$A$375,0))</f>
        <v>277.99000000000001</v>
      </c>
      <c r="J380" s="41">
        <f>AVERAGE(F380:I380)</f>
        <v>311.10500000000002</v>
      </c>
      <c r="K380" s="41">
        <f>AVERAGE(G380:J380)</f>
        <v>315.52375000000001</v>
      </c>
      <c r="L380" s="41">
        <f>AVERAGE(H380:K380)</f>
        <v>295.65218750000003</v>
      </c>
      <c r="M380" s="41">
        <f>AVERAGE(I380:L380)</f>
        <v>300.06773437500004</v>
      </c>
      <c r="N380" s="41">
        <f>AVERAGE(J380:M380)</f>
        <v>305.58716796875007</v>
      </c>
      <c r="O380" s="41">
        <f>AVERAGE(K380:N380)</f>
        <v>304.20770996093751</v>
      </c>
      <c r="P380" s="41">
        <f>AVERAGE(L380:O380)</f>
        <v>301.37869995117194</v>
      </c>
      <c r="Q380" s="41">
        <f>AVERAGE(M380:P380)</f>
        <v>302.8103280639649</v>
      </c>
      <c r="R380" s="41">
        <f>AVERAGE(N380:Q380)</f>
        <v>303.49597648620613</v>
      </c>
      <c r="S380" s="41">
        <f>AVERAGE(O380:R380)</f>
        <v>302.97317861557013</v>
      </c>
      <c r="T380" s="41">
        <f>AVERAGE(P380:S380)</f>
        <v>302.66454577922826</v>
      </c>
      <c r="U380" s="41">
        <f>AVERAGE(Q380:T380)</f>
        <v>302.98600723624236</v>
      </c>
      <c r="V380" s="41">
        <f>AVERAGE(R380:U380)</f>
        <v>303.02992702931175</v>
      </c>
      <c r="W380" s="41">
        <f>AVERAGE(S380:V380)</f>
        <v>302.91341466508811</v>
      </c>
      <c r="X380" s="41">
        <f>AVERAGE(T380:W380)</f>
        <v>302.89847367746762</v>
      </c>
      <c r="Y380" s="41">
        <f>AVERAGE(U380:X380)</f>
        <v>302.95695565202743</v>
      </c>
      <c r="Z380" s="41">
        <f>AVERAGE(V380:Y380)</f>
        <v>302.94969275597373</v>
      </c>
      <c r="AA380" s="41">
        <f>AVERAGE(W380:Z380)</f>
        <v>302.92963418763918</v>
      </c>
    </row>
    <row r="381" ht="15" customHeight="1">
      <c r="A381" t="inlineStr">
        <is>
          <t>The All In Company</t>
        </is>
      </c>
      <c r="C381" s="41">
        <f>+INDEX(C$339:C$375,MATCH($A381,$A$339:$A$375,0))</f>
        <v>0</v>
      </c>
      <c r="D381" s="41">
        <f>+INDEX(D$339:D$375,MATCH($A381,$A$339:$A$375,0))</f>
        <v>0</v>
      </c>
      <c r="E381" s="41">
        <f>+INDEX(E$339:E$375,MATCH($A381,$A$339:$A$375,0))</f>
        <v>0</v>
      </c>
      <c r="F381" s="41">
        <f>+INDEX(F$339:F$375,MATCH($A381,$A$339:$A$375,0))</f>
        <v>0</v>
      </c>
      <c r="G381" s="41">
        <f>+INDEX(G$339:G$375,MATCH($A381,$A$339:$A$375,0))</f>
        <v>3000</v>
      </c>
      <c r="H381" s="41">
        <f>+INDEX(H$339:H$375,MATCH($A381,$A$339:$A$375,0))</f>
        <v>1250</v>
      </c>
      <c r="I381" s="41">
        <f>+INDEX(I$339:I$375,MATCH($A381,$A$339:$A$375,0))</f>
        <v>1250</v>
      </c>
      <c r="J381" s="41">
        <f>AVERAGE(F381:I381)</f>
        <v>1375</v>
      </c>
      <c r="K381" s="41" t="n"/>
      <c r="L381" s="41" t="n"/>
      <c r="M381" s="41" t="n"/>
      <c r="N381" s="41" t="n"/>
      <c r="O381" s="41" t="n"/>
      <c r="P381" s="41" t="n"/>
      <c r="Q381" s="41" t="n"/>
      <c r="R381" s="41" t="n"/>
      <c r="S381" s="41" t="n"/>
      <c r="T381" s="41" t="n"/>
      <c r="U381" s="41" t="n"/>
      <c r="V381" s="41" t="n"/>
      <c r="W381" s="41" t="n"/>
      <c r="X381" s="41" t="n"/>
      <c r="Y381" s="41" t="n"/>
      <c r="Z381" s="41" t="n"/>
      <c r="AA381" s="41" t="n"/>
    </row>
    <row r="382" ht="15" customHeight="1">
      <c r="A382" t="inlineStr">
        <is>
          <t>Zoom</t>
        </is>
      </c>
      <c r="C382" s="41">
        <f>+INDEX(C$339:C$375,MATCH($A382,$A$339:$A$375,0))</f>
        <v>125.52</v>
      </c>
      <c r="D382" s="41">
        <f>+INDEX(D$339:D$375,MATCH($A382,$A$339:$A$375,0))</f>
        <v>300.88</v>
      </c>
      <c r="E382" s="41">
        <f>+INDEX(E$339:E$375,MATCH($A382,$A$339:$A$375,0))</f>
        <v>-113.52</v>
      </c>
      <c r="F382" s="41">
        <f>+INDEX(F$339:F$375,MATCH($A382,$A$339:$A$375,0))</f>
        <v>277.74000000000001</v>
      </c>
      <c r="G382" s="41">
        <f>+INDEX(G$339:G$375,MATCH($A382,$A$339:$A$375,0))</f>
        <v>116.42</v>
      </c>
      <c r="H382" s="41">
        <f>+INDEX(H$339:H$375,MATCH($A382,$A$339:$A$375,0))</f>
        <v>118.13</v>
      </c>
      <c r="I382" s="41">
        <f>+INDEX(I$339:I$375,MATCH($A382,$A$339:$A$375,0))</f>
        <v>108.25</v>
      </c>
      <c r="J382" s="41">
        <f>AVERAGE(F382:I382)</f>
        <v>155.13499999999999</v>
      </c>
      <c r="K382" s="41">
        <f>AVERAGE(G382:J382)</f>
        <v>124.48375</v>
      </c>
      <c r="L382" s="41">
        <f>AVERAGE(H382:K382)</f>
        <v>126.49968749999999</v>
      </c>
      <c r="M382" s="41">
        <f>AVERAGE(I382:L382)</f>
        <v>128.59210937500001</v>
      </c>
      <c r="N382" s="41">
        <f>AVERAGE(J382:M382)</f>
        <v>133.67763671874999</v>
      </c>
      <c r="O382" s="41">
        <f>AVERAGE(K382:N382)</f>
        <v>128.3132958984375</v>
      </c>
      <c r="P382" s="41">
        <f>AVERAGE(L382:O382)</f>
        <v>129.2706823730469</v>
      </c>
      <c r="Q382" s="41">
        <f>AVERAGE(M382:P382)</f>
        <v>129.96343109130859</v>
      </c>
      <c r="R382" s="41">
        <f>AVERAGE(N382:Q382)</f>
        <v>130.30626152038573</v>
      </c>
      <c r="S382" s="41">
        <f>AVERAGE(O382:R382)</f>
        <v>129.46341772079469</v>
      </c>
      <c r="T382" s="41">
        <f>AVERAGE(P382:S382)</f>
        <v>129.75094817638399</v>
      </c>
      <c r="U382" s="41">
        <f>AVERAGE(Q382:T382)</f>
        <v>129.87101462721824</v>
      </c>
      <c r="V382" s="41">
        <f>AVERAGE(R382:U382)</f>
        <v>129.84791051119566</v>
      </c>
      <c r="W382" s="41">
        <f>AVERAGE(S382:V382)</f>
        <v>129.73332275889817</v>
      </c>
      <c r="X382" s="41">
        <f>AVERAGE(T382:W382)</f>
        <v>129.80079901842402</v>
      </c>
      <c r="Y382" s="41">
        <f>AVERAGE(U382:X382)</f>
        <v>129.81326172893404</v>
      </c>
      <c r="Z382" s="41">
        <f>AVERAGE(V382:Y382)</f>
        <v>129.79882350436299</v>
      </c>
      <c r="AA382" s="41">
        <f>AVERAGE(W382:Z382)</f>
        <v>129.78655175265482</v>
      </c>
    </row>
    <row r="383" ht="15" customHeight="1">
      <c r="A383" t="inlineStr">
        <is>
          <t>Total</t>
        </is>
      </c>
      <c r="C383" s="41">
        <f>SUM(C378:C382)</f>
        <v>2197.77</v>
      </c>
      <c r="D383" s="41">
        <f>SUM(D378:D382)</f>
        <v>2398.0999999999999</v>
      </c>
      <c r="E383" s="41">
        <f>SUM(E378:E382)</f>
        <v>2061.4200000000001</v>
      </c>
      <c r="F383" s="41">
        <f>SUM(F378:F382)</f>
        <v>2529.2600000000002</v>
      </c>
      <c r="G383" s="41">
        <f>SUM(G378:G382)</f>
        <v>5501.3999999999996</v>
      </c>
      <c r="H383" s="41">
        <f>SUM(H378:H382)</f>
        <v>3664.4300000000003</v>
      </c>
      <c r="I383" s="41">
        <f>SUM(I378:I382)</f>
        <v>3712.4300000000003</v>
      </c>
      <c r="J383" s="41">
        <f>SUM(J378:J382)</f>
        <v>3851.8800000000001</v>
      </c>
      <c r="K383" s="41">
        <f>SUM(K378:K382)</f>
        <v>2463.7849999999999</v>
      </c>
      <c r="L383" s="41">
        <f>SUM(L378:L382)</f>
        <v>2454.3812500000004</v>
      </c>
      <c r="M383" s="41">
        <f>SUM(M378:M382)</f>
        <v>2464.3690624999999</v>
      </c>
      <c r="N383" s="41">
        <f>SUM(N378:N382)</f>
        <v>2464.8538281250003</v>
      </c>
      <c r="O383" s="41">
        <f>SUM(O378:O382)</f>
        <v>2461.8472851562501</v>
      </c>
      <c r="P383" s="41">
        <f>SUM(P378:P382)</f>
        <v>2461.3628564453129</v>
      </c>
      <c r="Q383" s="41">
        <f>SUM(Q378:Q382)</f>
        <v>2463.1082580566408</v>
      </c>
      <c r="R383" s="41">
        <f>SUM(R378:R382)</f>
        <v>2462.7930569458008</v>
      </c>
      <c r="S383" s="41">
        <f>SUM(S378:S382)</f>
        <v>2462.2778641510008</v>
      </c>
      <c r="T383" s="41">
        <f>SUM(T378:T382)</f>
        <v>2462.3855088996888</v>
      </c>
      <c r="U383" s="41">
        <f>SUM(U378:U382)</f>
        <v>2462.6411720132833</v>
      </c>
      <c r="V383" s="41">
        <f>SUM(V378:V382)</f>
        <v>2462.5244005024433</v>
      </c>
      <c r="W383" s="41">
        <f>SUM(W378:W382)</f>
        <v>2462.4572363916045</v>
      </c>
      <c r="X383" s="41">
        <f>SUM(X378:X382)</f>
        <v>2462.5020794517554</v>
      </c>
      <c r="Y383" s="41">
        <f>SUM(Y378:Y382)</f>
        <v>2462.5312220897713</v>
      </c>
      <c r="Z383" s="41">
        <f>SUM(Z378:Z382)</f>
        <v>2462.5037346088939</v>
      </c>
      <c r="AA383" s="41">
        <f>SUM(AA378:AA382)</f>
        <v>2462.498568135506</v>
      </c>
    </row>
    <row r="384" ht="15" customHeight="1">
      <c r="A384" t="inlineStr">
        <is>
          <t>% of total software</t>
        </is>
      </c>
      <c r="C384" s="42">
        <f>+C383/C375</f>
        <v>0.69067956405324893</v>
      </c>
      <c r="D384" s="42">
        <f>+D383/D375</f>
        <v>0.95141178384254366</v>
      </c>
      <c r="E384" s="42">
        <f>+E383/E375</f>
        <v>0.82473954582553188</v>
      </c>
      <c r="F384" s="42">
        <f>+F383/F375</f>
        <v>0.78232601299103011</v>
      </c>
      <c r="G384" s="42">
        <f>+G383/G375</f>
        <v>0.88414678244434908</v>
      </c>
      <c r="H384" s="42">
        <f>+H383/H375</f>
        <v>0.87379402436988851</v>
      </c>
      <c r="I384" s="42">
        <f>+I383/I375</f>
        <v>0.84806887934008168</v>
      </c>
      <c r="J384" s="42">
        <f>+J383/J375</f>
        <v>0.88567086139463025</v>
      </c>
      <c r="K384" s="42">
        <f>+K383/K375</f>
        <v>0.54579761192707288</v>
      </c>
      <c r="L384" s="42">
        <f>+L383/L375</f>
        <v>0.92415195683442408</v>
      </c>
      <c r="M384" s="42">
        <f>+M383/M375</f>
        <v>0.85857543201059117</v>
      </c>
      <c r="N384" s="42">
        <f>+N383/N375</f>
        <v>0.89971631818082276</v>
      </c>
      <c r="O384" s="42">
        <f>+O383/O375</f>
        <v>0.76146750421624609</v>
      </c>
      <c r="P384" s="42">
        <f>+P383/P375</f>
        <v>0.92555751126987362</v>
      </c>
      <c r="Q384" s="42">
        <f>+Q383/Q375</f>
        <v>0.880710064273863</v>
      </c>
      <c r="R384" s="42">
        <f>+R383/R375</f>
        <v>0.53608087315730957</v>
      </c>
      <c r="S384" s="42">
        <f>+S383/S375</f>
        <v>0.43058935542189336</v>
      </c>
      <c r="T384" s="42">
        <f>+T383/T375</f>
        <v>0.90445416505345755</v>
      </c>
      <c r="U384" s="42">
        <f>+U383/U375</f>
        <v>0.65919519143357252</v>
      </c>
      <c r="V384" s="42">
        <f>+V383/V375</f>
        <v>0.80355433458282266</v>
      </c>
      <c r="W384" s="42">
        <f>+W383/W375</f>
        <v>0.79283721083609293</v>
      </c>
      <c r="X384" s="42">
        <f>+X383/X375</f>
        <v>1.0853286083352089</v>
      </c>
      <c r="Y384" s="42">
        <f>+Y383/Y375</f>
        <v>1.0376373022571839</v>
      </c>
      <c r="Z384" s="42">
        <f>+Z383/Z375</f>
        <v>0.91584766811921203</v>
      </c>
      <c r="AA384" s="42">
        <f>+AA383/AA375</f>
        <v>0.78371107480204516</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57"/>
  <sheetViews>
    <sheetView showGridLines="0" zoomScaleNormal="100" workbookViewId="0">
      <selection activeCell="A1" sqref="A1"/>
    </sheetView>
  </sheetViews>
  <sheetFormatPr baseColWidth="8" defaultColWidth="8.7109375" defaultRowHeight="15"/>
  <cols>
    <col width="52" customWidth="1" min="1" max="1"/>
    <col width="16" customWidth="1" min="2" max="3"/>
    <col width="62" customWidth="1" min="4" max="4"/>
  </cols>
  <sheetData>
    <row r="1" ht="19.5" customHeight="1">
      <c r="A1" s="43" t="inlineStr">
        <is>
          <t>Smart VAs LLC — Quality of Earnings (Lite)</t>
        </is>
      </c>
    </row>
    <row r="2">
      <c r="A2" s="44" t="inlineStr">
        <is>
          <t>TTM Period: July 2025 – June 2026  |  Source: Monthly Financials tab (seller GL)</t>
        </is>
      </c>
    </row>
    <row r="3">
      <c r="A3" s="45" t="inlineStr">
        <is>
          <t>Scope note: this is a lite QOE built solely from the seller’s GL-derived monthly financials already in this workbook. No customer-level, contract-level, or vendor-invoice detail was available, so revenue concentration and contract-quality testing (normally part of a full QOE) are out of scope here — flagged in Section 5.</t>
        </is>
      </c>
    </row>
    <row r="5" ht="15" customHeight="1">
      <c r="A5" s="46" t="inlineStr">
        <is>
          <t>1. REVENUE QUALITY (TTM)</t>
        </is>
      </c>
      <c r="B5" s="46" t="n"/>
      <c r="C5" s="46" t="n"/>
      <c r="D5" s="46" t="n"/>
    </row>
    <row r="6">
      <c r="A6" s="47" t="n"/>
      <c r="B6" s="48" t="inlineStr">
        <is>
          <t>TTM $</t>
        </is>
      </c>
      <c r="C6" s="48" t="inlineStr">
        <is>
          <t>% of Net Revenue</t>
        </is>
      </c>
    </row>
    <row r="7">
      <c r="A7" s="49" t="inlineStr">
        <is>
          <t>Service Revenue (Core VA Staffing)</t>
        </is>
      </c>
      <c r="B7" s="50">
        <f>SUM('Monthly Financials'!P9:AA9)</f>
        <v>975916.59000000008</v>
      </c>
    </row>
    <row r="8">
      <c r="A8" s="49" t="inlineStr">
        <is>
          <t>Smart VA Academy Revenue (Non-Core)</t>
        </is>
      </c>
      <c r="B8" s="50">
        <f>SUM('Monthly Financials'!P10:AA10)</f>
        <v>303.45999999999998</v>
      </c>
    </row>
    <row r="9">
      <c r="A9" s="49" t="inlineStr">
        <is>
          <t>Less: Discounts</t>
        </is>
      </c>
      <c r="B9" s="50">
        <f>SUM('Monthly Financials'!P13:AA13)</f>
        <v>-22786.5</v>
      </c>
    </row>
    <row r="10">
      <c r="A10" s="49" t="inlineStr">
        <is>
          <t>Less: Refunds</t>
        </is>
      </c>
      <c r="B10" s="50">
        <f>SUM('Monthly Financials'!P14:AA14)</f>
        <v>-10760.289999999999</v>
      </c>
    </row>
    <row r="11">
      <c r="A11" s="51" t="inlineStr">
        <is>
          <t>Net Revenue</t>
        </is>
      </c>
      <c r="B11" s="52">
        <f>B7+B8+B9+B10</f>
        <v>942673.26000000001</v>
      </c>
      <c r="C11" s="53" t="n"/>
    </row>
    <row r="12">
      <c r="A12" s="49" t="inlineStr">
        <is>
          <t>Service Revenue % of Net Revenue</t>
        </is>
      </c>
      <c r="B12" s="54">
        <f>B7/B11</f>
        <v>1.0352649549007045</v>
      </c>
    </row>
    <row r="13">
      <c r="A13" s="49" t="inlineStr">
        <is>
          <t>Academy Revenue % of Net Revenue</t>
        </is>
      </c>
      <c r="B13" s="54">
        <f>B8/B11</f>
        <v>0.00032191429721895368</v>
      </c>
    </row>
    <row r="14">
      <c r="A14" s="49" t="inlineStr">
        <is>
          <t>Discounts + Refunds % of Gross Revenue</t>
        </is>
      </c>
      <c r="B14" s="54">
        <f>-(B9+B10)/(B7+B8)</f>
        <v>0.0343639633297841</v>
      </c>
    </row>
    <row r="15">
      <c r="A15" s="55" t="inlineStr">
        <is>
          <t>Revenue is almost entirely recurring Service Revenue on a prepaid/subscription-style collection model (see DSO in Section 4) — a favorable revenue-quality signal. Academy Revenue is immaterial.</t>
        </is>
      </c>
    </row>
    <row r="17" ht="15" customHeight="1">
      <c r="A17" s="46" t="inlineStr">
        <is>
          <t>2. ADJUSTED EBITDA BRIDGE (TTM)</t>
        </is>
      </c>
      <c r="B17" s="46" t="n"/>
      <c r="C17" s="46" t="n"/>
      <c r="D17" s="46" t="n"/>
    </row>
    <row r="18">
      <c r="A18" s="47" t="n"/>
      <c r="B18" s="48" t="inlineStr">
        <is>
          <t>TTM $</t>
        </is>
      </c>
      <c r="C18" s="48" t="inlineStr">
        <is>
          <t>% of Net Revenue</t>
        </is>
      </c>
    </row>
    <row r="19">
      <c r="A19" s="51" t="inlineStr">
        <is>
          <t>Reported EBIT / EBITDA (No Historical D&amp;A — PP&amp;E Fully Depreciated)</t>
        </is>
      </c>
      <c r="B19" s="56">
        <f>SUM('Monthly Financials'!P72:AA72)</f>
        <v>159212.12999999995</v>
      </c>
    </row>
    <row r="20">
      <c r="A20" s="49" t="inlineStr">
        <is>
          <t>Reported EBITDA Margin %</t>
        </is>
      </c>
      <c r="B20" s="54">
        <f>B19/B11</f>
        <v>0.16889428899256137</v>
      </c>
    </row>
    <row r="22">
      <c r="A22" s="49" t="inlineStr">
        <is>
          <t>Add: Owner’s Pay (Control-Basis Addback)</t>
        </is>
      </c>
      <c r="B22" s="50">
        <f>SUM('Monthly Financials'!P40:AA40)</f>
        <v>61389.510000000002</v>
      </c>
    </row>
    <row r="23">
      <c r="A23" s="49" t="inlineStr">
        <is>
          <t>Add: Home Office Deduction (Personal/Tax-Driven)</t>
        </is>
      </c>
      <c r="B23" s="50">
        <f>SUM('Monthly Financials'!P61:AA61)</f>
        <v>6986.8000000000002</v>
      </c>
    </row>
    <row r="24">
      <c r="A24" s="49" t="inlineStr">
        <is>
          <t>Add: Charitable Contributions (Discretionary)</t>
        </is>
      </c>
      <c r="B24" s="50">
        <f>SUM('Monthly Financials'!P59:AA59)</f>
        <v>900</v>
      </c>
    </row>
    <row r="25">
      <c r="A25" s="51" t="inlineStr">
        <is>
          <t>Core Adjusted EBITDA</t>
        </is>
      </c>
      <c r="B25" s="52">
        <f>B19+B22+B23+B24</f>
        <v>228488.43999999994</v>
      </c>
      <c r="C25" s="53" t="n"/>
    </row>
    <row r="26">
      <c r="A26" s="51" t="inlineStr">
        <is>
          <t>Core Adjusted EBITDA Margin %</t>
        </is>
      </c>
      <c r="B26" s="57">
        <f>B25/B11</f>
        <v>0.24238349563453188</v>
      </c>
    </row>
    <row r="28">
      <c r="A28" s="44" t="inlineStr">
        <is>
          <t>Memo: Judgment-Call Items (Not Included Above)</t>
        </is>
      </c>
    </row>
    <row r="29">
      <c r="A29" s="55" t="inlineStr">
        <is>
          <t>Employee/Client Appreciation is common in labor-intensive, remote-retention-dependent staffing models and arguably a real cost of keeping VAs — shown separately rather than force-classified.</t>
        </is>
      </c>
    </row>
    <row r="30">
      <c r="A30" s="49" t="inlineStr">
        <is>
          <t>Employee Appreciation</t>
        </is>
      </c>
      <c r="B30" s="50">
        <f>SUM('Monthly Financials'!P44:AA44)</f>
        <v>17897.400000000001</v>
      </c>
    </row>
    <row r="31">
      <c r="A31" s="49" t="inlineStr">
        <is>
          <t>Client Appreciation</t>
        </is>
      </c>
      <c r="B31" s="50">
        <f>SUM('Monthly Financials'!P50:AA50)</f>
        <v>547.61000000000001</v>
      </c>
    </row>
    <row r="32">
      <c r="A32" s="51" t="inlineStr">
        <is>
          <t>Adjusted EBITDA Including Judgment Items</t>
        </is>
      </c>
      <c r="B32" s="52">
        <f>B25+B30+B31</f>
        <v>246933.44999999992</v>
      </c>
      <c r="C32" s="53" t="n"/>
    </row>
    <row r="33">
      <c r="A33" s="51" t="inlineStr">
        <is>
          <t>Adjusted EBITDA Margin % (Incl. Judgment Items)</t>
        </is>
      </c>
      <c r="B33" s="57">
        <f>B32/B11</f>
        <v>0.26195020106966854</v>
      </c>
    </row>
    <row r="34">
      <c r="A34" s="55" t="inlineStr">
        <is>
          <t>Owner’s Pay is added back on a standard control-basis convention. This lite QOE does not assume a specific replacement-management cost — the buyer-side Assumptions tab already models $60,000 in new Owner Compensation plus a $60,000 new hire, which should be read alongside this bridge, not on top of it.</t>
        </is>
      </c>
    </row>
    <row r="36" ht="15" customHeight="1">
      <c r="A36" s="46" t="inlineStr">
        <is>
          <t>3. IMPLIED MULTIPLES AT ASKING PRICE</t>
        </is>
      </c>
      <c r="B36" s="46" t="n"/>
      <c r="C36" s="46" t="n"/>
      <c r="D36" s="46" t="n"/>
    </row>
    <row r="37">
      <c r="A37" s="51" t="inlineStr">
        <is>
          <t>Asking Price</t>
        </is>
      </c>
      <c r="B37" s="56">
        <f>Assumptions!E10</f>
        <v>540000</v>
      </c>
    </row>
    <row r="38">
      <c r="A38" s="49" t="inlineStr">
        <is>
          <t>Multiple of Reported EBITDA</t>
        </is>
      </c>
      <c r="B38" s="58">
        <f>IFERROR(B37/B19,0)</f>
        <v>3.3917013735071579</v>
      </c>
    </row>
    <row r="39">
      <c r="A39" s="49" t="inlineStr">
        <is>
          <t>Multiple of Core Adjusted EBITDA</t>
        </is>
      </c>
      <c r="B39" s="58">
        <f>IFERROR(B37/B25,0)</f>
        <v>2.3633580762335291</v>
      </c>
    </row>
    <row r="40">
      <c r="A40" s="49" t="inlineStr">
        <is>
          <t>Multiple of Adjusted EBITDA (Incl. Judgment Items)</t>
        </is>
      </c>
      <c r="B40" s="58">
        <f>IFERROR(B37/B32,0)</f>
        <v>2.1868240208039866</v>
      </c>
    </row>
    <row r="42" ht="15" customHeight="1">
      <c r="A42" s="46" t="inlineStr">
        <is>
          <t>4. BALANCE SHEET / WORKING CAPITAL QUALITY (as of Jun-2026)</t>
        </is>
      </c>
      <c r="B42" s="46" t="n"/>
      <c r="C42" s="46" t="n"/>
      <c r="D42" s="46" t="n"/>
    </row>
    <row r="43">
      <c r="A43" s="49" t="inlineStr">
        <is>
          <t>Accounts Receivable</t>
        </is>
      </c>
      <c r="B43" s="50">
        <f>'Monthly Financials'!AA92</f>
        <v>656.25000000004093</v>
      </c>
    </row>
    <row r="44">
      <c r="A44" s="49" t="inlineStr">
        <is>
          <t>Days Sales Outstanding (3-Month Rolling)</t>
        </is>
      </c>
      <c r="B44" s="59">
        <f>'Monthly Financials'!AA293</f>
        <v>0.25957164392529103</v>
      </c>
    </row>
    <row r="45">
      <c r="A45" s="49" t="inlineStr">
        <is>
          <t>Net Working Capital, Ex-Cash</t>
        </is>
      </c>
      <c r="B45" s="50">
        <f>'Monthly Financials'!AA286</f>
        <v>-4934.8299999999699</v>
      </c>
    </row>
    <row r="46">
      <c r="A46" s="49" t="inlineStr">
        <is>
          <t>Fixed Assets, Net Book Value</t>
        </is>
      </c>
      <c r="B46" s="50">
        <f>'Monthly Financials'!AA303</f>
        <v>0</v>
      </c>
    </row>
    <row r="47">
      <c r="A47" s="49" t="inlineStr">
        <is>
          <t>Loan Payable (Balance Sheet)</t>
        </is>
      </c>
      <c r="B47" s="50">
        <f>'Monthly Financials'!AA124</f>
        <v>0</v>
      </c>
    </row>
    <row r="48">
      <c r="A48" s="49" t="inlineStr">
        <is>
          <t>Line of Credit Drawn</t>
        </is>
      </c>
      <c r="B48" s="50">
        <f>'Monthly Financials'!AA119</f>
        <v>2.7284841053187847e-12</v>
      </c>
    </row>
    <row r="49">
      <c r="A49" s="49" t="inlineStr">
        <is>
          <t>Total Cash</t>
        </is>
      </c>
      <c r="B49" s="50">
        <f>'Monthly Financials'!AA275</f>
        <v>87174.150000000023</v>
      </c>
    </row>
    <row r="50">
      <c r="A50" s="55" t="inlineStr">
        <is>
          <t>Zero balance-sheet debt, negligible AR, and near-zero NWC confirm an asset-light, cash-collect-first operating model. Fixed assets are fully depreciated — favorable for historical D&amp;A, but signals aging equipment a buyer should physically inspect rather than assume has ongoing service life.</t>
        </is>
      </c>
    </row>
    <row r="52" ht="15" customHeight="1">
      <c r="A52" s="46" t="inlineStr">
        <is>
          <t>5. KEY QUALITY-OF-EARNINGS OBSERVATIONS</t>
        </is>
      </c>
      <c r="B52" s="46" t="n"/>
      <c r="C52" s="46" t="n"/>
      <c r="D52" s="46" t="n"/>
    </row>
    <row r="53" ht="27.75" customHeight="1">
      <c r="A53" s="45" t="inlineStr">
        <is>
          <t>• Add-backs excluding Owner’s Pay total under 1% of Net Revenue — the reported numbers are already fairly clean; Owner’s Pay is the only addback of real size, and it is a normal control-basis adjustment, not a red flag.</t>
        </is>
      </c>
    </row>
    <row r="54" ht="27.75" customHeight="1">
      <c r="A54" s="45" t="inlineStr">
        <is>
          <t>• No customer-level or contract-level data was in the GL extract used to build this workbook — customer concentration, contract terms, and churn-by-account could not be tested here. Recommend requesting this before finalizing a deal.</t>
        </is>
      </c>
    </row>
    <row r="55" ht="27.75" customHeight="1">
      <c r="A55" s="45" t="inlineStr">
        <is>
          <t>• This Lite QOE measures the SELLER’s historical earning power on an as-recorded and lightly-adjusted basis. It is distinct from the Projections tab, which models FORWARD economics under a new capital structure and two new compensation lines — do not read the two as measuring the same thing.</t>
        </is>
      </c>
    </row>
    <row r="56" ht="27.75" customHeight="1">
      <c r="A56" s="45" t="inlineStr">
        <is>
          <t>• Unapplied Cash Payments / Unapplied Cash Bill Payments (GL suspense accounts) were $0 in the TTM window — no adjustment needed currently, but worth confirming these accounts stay clear going forward.</t>
        </is>
      </c>
    </row>
    <row r="57" ht="27.75" customHeight="1">
      <c r="A57" s="45" t="inlineStr">
        <is>
          <t>• Revenue collection is effectively immediate (DSO well under 1 day) — consistent with a prepaid or auto-charge billing model; confirm this contractually rather than assuming it persists post-close.</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15"/>
  <sheetViews>
    <sheetView showGridLines="0" zoomScaleNormal="100" workbookViewId="0">
      <pane xSplit="1" ySplit="6" topLeftCell="B28" activePane="bottomRight" state="frozen"/>
      <selection pane="topRight" activeCell="B1" sqref="B1"/>
      <selection pane="bottomLeft" activeCell="A7" sqref="A7"/>
      <selection pane="bottomRight" activeCell="C116" sqref="C116"/>
    </sheetView>
  </sheetViews>
  <sheetFormatPr baseColWidth="8" defaultColWidth="8.7109375" defaultRowHeight="15"/>
  <cols>
    <col width="46" customWidth="1" min="1" max="1"/>
    <col width="13" customWidth="1" min="2" max="4"/>
    <col width="15" customWidth="1" min="5" max="5"/>
    <col width="72" customWidth="1" min="6" max="6"/>
    <col width="10" bestFit="1" customWidth="1" min="8" max="8"/>
  </cols>
  <sheetData>
    <row r="1" ht="18" customHeight="1">
      <c r="A1" s="43" t="inlineStr">
        <is>
          <t>Smart VAs LLC — Acquisition Model</t>
        </is>
      </c>
    </row>
    <row r="2" ht="15" customHeight="1">
      <c r="A2" s="44" t="inlineStr">
        <is>
          <t>Buyer-Side Transaction, Financing &amp; Operating Assumptions</t>
        </is>
      </c>
    </row>
    <row r="3" ht="15" customHeight="1">
      <c r="A3" s="45" t="inlineStr">
        <is>
          <t>Currency: USD, whole dollars. Historical baseline ("TTM") figures link live to the Monthly Financials tab (trailing twelve months, Jul-2025–Jun-2026).</t>
        </is>
      </c>
    </row>
    <row r="5" ht="15" customHeight="1">
      <c r="A5" s="60" t="inlineStr">
        <is>
          <t>ACTIVE SCENARIO (drives the Projections tab):</t>
        </is>
      </c>
      <c r="C5" s="61" t="inlineStr">
        <is>
          <t>Base</t>
        </is>
      </c>
      <c r="D5" s="62" t="inlineStr">
        <is>
          <t>← choose Worst / Base / Best</t>
        </is>
      </c>
    </row>
    <row r="7" ht="15" customHeight="1">
      <c r="A7" s="46" t="inlineStr">
        <is>
          <t>1. TRANSACTION STRUCTURE &amp; FINANCING</t>
        </is>
      </c>
      <c r="B7" s="46" t="n"/>
      <c r="C7" s="46" t="n"/>
      <c r="D7" s="46" t="n"/>
      <c r="E7" s="46" t="n"/>
      <c r="F7" s="46" t="n"/>
    </row>
    <row r="8" ht="15" customHeight="1">
      <c r="A8" s="63" t="n"/>
      <c r="B8" s="48" t="inlineStr">
        <is>
          <t>Worst</t>
        </is>
      </c>
      <c r="C8" s="48" t="inlineStr">
        <is>
          <t>Base / Value</t>
        </is>
      </c>
      <c r="D8" s="48" t="inlineStr">
        <is>
          <t>Best</t>
        </is>
      </c>
      <c r="E8" s="48" t="inlineStr">
        <is>
          <t>Selected (Active)</t>
        </is>
      </c>
      <c r="F8" s="48" t="inlineStr">
        <is>
          <t>Source / Notes</t>
        </is>
      </c>
    </row>
    <row r="9" ht="15" customHeight="1">
      <c r="A9" s="44" t="inlineStr">
        <is>
          <t>Deal Terms</t>
        </is>
      </c>
    </row>
    <row r="10" ht="15" customHeight="1">
      <c r="A10" s="49" t="inlineStr">
        <is>
          <t>Sale (Purchase) Price</t>
        </is>
      </c>
      <c r="B10" s="50">
        <f>C10</f>
        <v>540000</v>
      </c>
      <c r="C10" s="64" t="n">
        <v>540000</v>
      </c>
      <c r="D10" s="50">
        <f>C10</f>
        <v>540000</v>
      </c>
      <c r="E10" s="56">
        <f>C10</f>
        <v>540000</v>
      </c>
      <c r="F10" s="65" t="inlineStr">
        <is>
          <t>Per buyer instruction.</t>
        </is>
      </c>
    </row>
    <row r="11" ht="15" customHeight="1">
      <c r="A11" s="49" t="inlineStr">
        <is>
          <t>Working Capital Injection — % of Sale Price</t>
        </is>
      </c>
      <c r="B11" s="54">
        <f>C11</f>
        <v>0.055555</v>
      </c>
      <c r="C11" s="66" t="n">
        <v>0.055555</v>
      </c>
      <c r="D11" s="54">
        <f>C11</f>
        <v>0.055555</v>
      </c>
      <c r="E11" s="57">
        <f>C11</f>
        <v>0.055555</v>
      </c>
      <c r="F11" s="65" t="inlineStr">
        <is>
          <t>Per buyer instruction: cash injected at close for post-close operating buffer.</t>
        </is>
      </c>
    </row>
    <row r="12" ht="15" customHeight="1">
      <c r="A12" s="49" t="inlineStr">
        <is>
          <t>Working Capital Injection — $ Amount</t>
        </is>
      </c>
      <c r="E12" s="50">
        <f>E10*E11</f>
        <v>29999.700000000001</v>
      </c>
    </row>
    <row r="13" ht="15" customHeight="1">
      <c r="A13" s="67" t="inlineStr">
        <is>
          <t>Total Uses of Funds</t>
        </is>
      </c>
      <c r="E13" s="56">
        <f>E10+E12</f>
        <v>569999.69999999995</v>
      </c>
    </row>
    <row r="15" ht="15" customHeight="1">
      <c r="A15" s="44" t="inlineStr">
        <is>
          <t>Seller Financing (Note) — Dynamically Linked, Set to 0% for Now</t>
        </is>
      </c>
    </row>
    <row r="16" ht="15" customHeight="1">
      <c r="A16" s="49" t="inlineStr">
        <is>
          <t>Seller Note — % of Sale Price</t>
        </is>
      </c>
      <c r="B16" s="54">
        <f>C16</f>
        <v>0</v>
      </c>
      <c r="C16" s="66" t="n">
        <v>0</v>
      </c>
      <c r="D16" s="54">
        <f>C16</f>
        <v>0</v>
      </c>
      <c r="E16" s="57">
        <f>C16</f>
        <v>0</v>
      </c>
      <c r="F16" s="65" t="inlineStr">
        <is>
          <t>Set to 0% pending negotiated terms. Formula-linked to Sale Price so it can be activated by changing this one cell.</t>
        </is>
      </c>
    </row>
    <row r="17" ht="15" customHeight="1">
      <c r="A17" s="49" t="inlineStr">
        <is>
          <t>Seller Note — $ Amount</t>
        </is>
      </c>
      <c r="E17" s="50">
        <f>E10*E16</f>
        <v>0</v>
      </c>
    </row>
    <row r="18" ht="15" customHeight="1">
      <c r="A18" s="49" t="inlineStr">
        <is>
          <t>Seller Note — Interest Rate</t>
        </is>
      </c>
      <c r="B18" s="54">
        <f>C18</f>
        <v>0.059999999999999998</v>
      </c>
      <c r="C18" s="66" t="n">
        <v>0.06</v>
      </c>
      <c r="D18" s="54">
        <f>C18</f>
        <v>0.059999999999999998</v>
      </c>
      <c r="E18" s="57">
        <f>C18</f>
        <v>0.059999999999999998</v>
      </c>
      <c r="F18" s="65" t="inlineStr">
        <is>
          <t>Typical seller-note coupon is 6–8%; immaterial while the note is $0.</t>
        </is>
      </c>
    </row>
    <row r="19" ht="15" customHeight="1">
      <c r="A19" s="49" t="inlineStr">
        <is>
          <t>Seller Note — Term (Years)</t>
        </is>
      </c>
      <c r="B19" s="68">
        <f>C19</f>
        <v>5</v>
      </c>
      <c r="C19" s="69" t="n">
        <v>5</v>
      </c>
      <c r="D19" s="68">
        <f>C19</f>
        <v>5</v>
      </c>
      <c r="E19" s="70">
        <f>C19</f>
        <v>5</v>
      </c>
    </row>
    <row r="20" ht="15" customHeight="1">
      <c r="A20" s="49" t="inlineStr">
        <is>
          <t>Seller Note — Annual Payment</t>
        </is>
      </c>
      <c r="E20" s="50">
        <f>IFERROR(-PMT(E18,E19,E17),0)</f>
        <v>0</v>
      </c>
    </row>
    <row r="22" ht="15" customHeight="1">
      <c r="A22" s="44" t="inlineStr">
        <is>
          <t>Seller Escrow / Indemnity Holdback — 5% Market Convention, Set to 0% for Now</t>
        </is>
      </c>
    </row>
    <row r="23" ht="15" customHeight="1">
      <c r="A23" s="49" t="inlineStr">
        <is>
          <t>Escrow Retention — % of Sale Price</t>
        </is>
      </c>
      <c r="B23" s="54">
        <f>C23</f>
        <v>0</v>
      </c>
      <c r="C23" s="66" t="n">
        <v>0</v>
      </c>
      <c r="D23" s="54">
        <f>C23</f>
        <v>0</v>
      </c>
      <c r="E23" s="57">
        <f>C23</f>
        <v>0</v>
      </c>
      <c r="F23" s="65" t="inlineStr">
        <is>
          <t>Market-standard indemnity holdback is ~5% of price for 12–18 months; set to 0% until deal terms are finalized. Funded from loan/equity proceeds at closing — reduces the seller’s net cash at close only, not Total Uses.</t>
        </is>
      </c>
    </row>
    <row r="24" ht="15" customHeight="1">
      <c r="A24" s="49" t="inlineStr">
        <is>
          <t>Escrow Amount — $</t>
        </is>
      </c>
      <c r="E24" s="50">
        <f>E10*E23</f>
        <v>0</v>
      </c>
    </row>
    <row r="25" ht="15" customHeight="1">
      <c r="A25" s="49" t="inlineStr">
        <is>
          <t>Escrow Release Period (Months)</t>
        </is>
      </c>
      <c r="B25" s="68">
        <f>C25</f>
        <v>12</v>
      </c>
      <c r="C25" s="69" t="n">
        <v>12</v>
      </c>
      <c r="D25" s="68">
        <f>C25</f>
        <v>12</v>
      </c>
      <c r="E25" s="70">
        <f>C25</f>
        <v>12</v>
      </c>
    </row>
    <row r="27" ht="15" customHeight="1">
      <c r="A27" s="44" t="inlineStr">
        <is>
          <t>Senior Debt — SBA 7(a) Term Loan</t>
        </is>
      </c>
    </row>
    <row r="28" ht="15" customHeight="1">
      <c r="A28" s="49" t="inlineStr">
        <is>
          <t>Prime Rate (Current)</t>
        </is>
      </c>
      <c r="B28" s="71">
        <f>C28</f>
        <v>0.067500000000000004</v>
      </c>
      <c r="C28" s="72" t="n">
        <v>0.0675</v>
      </c>
      <c r="D28" s="71">
        <f>C28</f>
        <v>0.067500000000000004</v>
      </c>
      <c r="E28" s="73">
        <f>C28</f>
        <v>0.067500000000000004</v>
      </c>
      <c r="F28" s="65" t="inlineStr">
        <is>
          <t>Source: Federal Reserve H.15 Selected Interest Rates / bank prime loan rate, Aug 3, 2026 (6.75%).</t>
        </is>
      </c>
    </row>
    <row r="29" ht="15" customHeight="1">
      <c r="A29" s="49" t="inlineStr">
        <is>
          <t>Spread over Prime</t>
        </is>
      </c>
      <c r="B29" s="71">
        <f>C29</f>
        <v>0.0275</v>
      </c>
      <c r="C29" s="87" t="n">
        <v>0.0275</v>
      </c>
      <c r="D29" s="71">
        <f>C29</f>
        <v>0.0275</v>
      </c>
      <c r="E29" s="73">
        <f>C29</f>
        <v>0.0275</v>
      </c>
      <c r="F29" s="65" t="inlineStr">
        <is>
          <t>Per buyer instruction; equals the SBA 7(a) maximum spread allowed on loans &gt;$50,000 with terms ≥ 7 years.</t>
        </is>
      </c>
    </row>
    <row r="30" ht="15" customHeight="1">
      <c r="A30" s="49" t="inlineStr">
        <is>
          <t>All-In Interest Rate</t>
        </is>
      </c>
      <c r="E30" s="71">
        <f>E28+E29</f>
        <v>0.095000000000000001</v>
      </c>
    </row>
    <row r="31" ht="15" customHeight="1">
      <c r="A31" s="49" t="inlineStr">
        <is>
          <t>Loan Term (Years)</t>
        </is>
      </c>
      <c r="B31" s="68">
        <f>C31</f>
        <v>10</v>
      </c>
      <c r="C31" s="69" t="n">
        <v>10</v>
      </c>
      <c r="D31" s="68">
        <f>C31</f>
        <v>10</v>
      </c>
      <c r="E31" s="70">
        <f>C31</f>
        <v>10</v>
      </c>
      <c r="F31" s="65" t="inlineStr">
        <is>
          <t>SBA 7(a) maximum amortization for goodwill/intangible-asset acquisitions with no real estate.</t>
        </is>
      </c>
    </row>
    <row r="32" ht="15" customHeight="1">
      <c r="A32" s="74" t="inlineStr">
        <is>
          <t>Senior SBA Term Loan — Amount (Plug)</t>
        </is>
      </c>
      <c r="E32" s="56">
        <f>+E13</f>
        <v>569999.69999999995</v>
      </c>
    </row>
    <row r="34" ht="15" customHeight="1">
      <c r="A34" s="44" t="inlineStr">
        <is>
          <t>Sources &amp; Uses of Funds (Check)</t>
        </is>
      </c>
    </row>
    <row r="35" ht="15" customHeight="1">
      <c r="A35" s="49" t="inlineStr">
        <is>
          <t>Uses: Purchase Price</t>
        </is>
      </c>
      <c r="E35" s="50">
        <f>E10</f>
        <v>540000</v>
      </c>
    </row>
    <row r="36" ht="15" customHeight="1">
      <c r="A36" s="49" t="inlineStr">
        <is>
          <t>Uses: Working Capital Injection</t>
        </is>
      </c>
      <c r="E36" s="50">
        <f>E12</f>
        <v>29999.700000000001</v>
      </c>
    </row>
    <row r="37" ht="15" customHeight="1">
      <c r="A37" s="49" t="inlineStr">
        <is>
          <t>Uses: SBA Gaurantee Fee</t>
        </is>
      </c>
      <c r="E37" s="50" t="n">
        <v>12200</v>
      </c>
    </row>
    <row r="38" ht="15" customHeight="1">
      <c r="A38" s="49" t="inlineStr">
        <is>
          <t>Estimated Closing Costs</t>
        </is>
      </c>
      <c r="E38" s="50" t="n">
        <v>20000</v>
      </c>
    </row>
    <row r="39" ht="15" customHeight="1">
      <c r="A39" s="74" t="inlineStr">
        <is>
          <t>Total Uses</t>
        </is>
      </c>
      <c r="E39" s="56">
        <f>SUM(E35:E38)</f>
        <v>602199.69999999995</v>
      </c>
    </row>
    <row r="41" ht="15" customHeight="1">
      <c r="A41" s="49" t="inlineStr">
        <is>
          <t>Sources: Buyer Equity</t>
        </is>
      </c>
      <c r="E41" s="88" t="n">
        <v>60300</v>
      </c>
    </row>
    <row r="42" ht="15" customHeight="1">
      <c r="A42" s="49" t="inlineStr">
        <is>
          <t>Sources: Seller Note</t>
        </is>
      </c>
      <c r="E42" s="50">
        <f>E17</f>
        <v>0</v>
      </c>
    </row>
    <row r="43" ht="15" customHeight="1">
      <c r="A43" s="49" t="inlineStr">
        <is>
          <t>Sources: Senior SBA Term Loan</t>
        </is>
      </c>
      <c r="E43" s="50">
        <f>+E39-E41-E42</f>
        <v>541899.69999999995</v>
      </c>
    </row>
    <row r="44" ht="15" customHeight="1">
      <c r="A44" s="74" t="inlineStr">
        <is>
          <t>Total Sources</t>
        </is>
      </c>
      <c r="E44" s="56">
        <f>E41+E42+E43</f>
        <v>602199.69999999995</v>
      </c>
    </row>
    <row r="45" ht="15" customHeight="1">
      <c r="A45" s="74" t="inlineStr">
        <is>
          <t>Check: Total Sources less Total Uses</t>
        </is>
      </c>
      <c r="E45" s="56">
        <f>E44-E39</f>
        <v>0</v>
      </c>
    </row>
    <row r="46" ht="15" customHeight="1">
      <c r="A46" s="49" t="inlineStr">
        <is>
          <t>Memo: Escrow Holdback (funded from proceeds above)</t>
        </is>
      </c>
      <c r="E46" s="50">
        <f>E24</f>
        <v>0</v>
      </c>
    </row>
    <row r="48" ht="15" customHeight="1">
      <c r="A48" s="46" t="inlineStr">
        <is>
          <t>2. REVENUE ASSUMPTIONS</t>
        </is>
      </c>
      <c r="B48" s="46" t="n"/>
      <c r="C48" s="46" t="n"/>
      <c r="D48" s="46" t="n"/>
      <c r="E48" s="46" t="n"/>
      <c r="F48" s="46" t="n"/>
    </row>
    <row r="49" ht="15" customHeight="1">
      <c r="A49" s="63" t="n"/>
      <c r="B49" s="48" t="inlineStr">
        <is>
          <t>Worst</t>
        </is>
      </c>
      <c r="C49" s="48" t="inlineStr">
        <is>
          <t>Base / Value</t>
        </is>
      </c>
      <c r="D49" s="48" t="inlineStr">
        <is>
          <t>Best</t>
        </is>
      </c>
      <c r="E49" s="48" t="inlineStr">
        <is>
          <t>Selected (Active)</t>
        </is>
      </c>
      <c r="F49" s="48" t="inlineStr">
        <is>
          <t>Source / Notes</t>
        </is>
      </c>
    </row>
    <row r="50" ht="15" customHeight="1">
      <c r="A50" s="74" t="inlineStr">
        <is>
          <t>TTM Net Revenue (Baseline, Jul-2025–Jun-2026)</t>
        </is>
      </c>
      <c r="E50" s="75">
        <f>SUM('Monthly Financials'!P15:AA15)</f>
        <v>942673.25999999989</v>
      </c>
      <c r="F50" s="65" t="n"/>
    </row>
    <row r="51" ht="15" customHeight="1">
      <c r="A51" s="49" t="inlineStr">
        <is>
          <t>Annual Customer Attrition Rate</t>
        </is>
      </c>
      <c r="B51" s="66" t="n">
        <v>0.12</v>
      </c>
      <c r="C51" s="66" t="n">
        <v>0.08</v>
      </c>
      <c r="D51" s="66" t="n">
        <v>0.03</v>
      </c>
      <c r="E51" s="57">
        <f>CHOOSE(MATCH($C$5,{"Worst","Base","Best"},0),B51,C51,D51)</f>
        <v>0.080000000000000002</v>
      </c>
      <c r="F51" s="65" t="n"/>
    </row>
    <row r="52" ht="15" customHeight="1">
      <c r="A52" s="49" t="inlineStr">
        <is>
          <t>Annual New-Business Growth Rate</t>
        </is>
      </c>
      <c r="B52" s="66" t="n">
        <v>0.1</v>
      </c>
      <c r="C52" s="66" t="n">
        <v>0.075</v>
      </c>
      <c r="D52" s="66" t="n">
        <v>0.06</v>
      </c>
      <c r="E52" s="57">
        <f>CHOOSE(MATCH($C$5,{"Worst","Base","Best"},0),B52,C52,D52)</f>
        <v>0.074999999999999997</v>
      </c>
      <c r="F52" s="89" t="inlineStr">
        <is>
          <t xml:space="preserve">Industry research (Ibis World) suggests high revenue growth potential, industry expects 2026 growth of 6.5% </t>
        </is>
      </c>
    </row>
    <row r="53" ht="15" customHeight="1">
      <c r="A53" s="49" t="inlineStr">
        <is>
          <t>Annual Price Indexing / Fee Escalation</t>
        </is>
      </c>
      <c r="B53" s="66" t="n">
        <v>0.02</v>
      </c>
      <c r="C53" s="66" t="n">
        <v>0.05</v>
      </c>
      <c r="D53" s="66" t="n">
        <v>0.06</v>
      </c>
      <c r="E53" s="57">
        <f>CHOOSE(MATCH($C$5,{"Worst","Base","Best"},0),B53,C53,D53)</f>
        <v>0.050000000000000003</v>
      </c>
      <c r="F53" s="65" t="n"/>
    </row>
    <row r="54" ht="15" customHeight="1">
      <c r="A54" s="74" t="inlineStr">
        <is>
          <t>Net Revenue Growth Rate (Combined)</t>
        </is>
      </c>
      <c r="B54" s="57">
        <f>B52+B53-B51</f>
        <v>0</v>
      </c>
      <c r="C54" s="57">
        <f>C52+C53-C51</f>
        <v>0.044999999999999998</v>
      </c>
      <c r="D54" s="57">
        <f>D52+D53-D51</f>
        <v>0.089999999999999997</v>
      </c>
      <c r="E54" s="57">
        <f>E52+E53-E51</f>
        <v>0.044999999999999998</v>
      </c>
      <c r="F54" s="65" t="n"/>
    </row>
    <row r="56" ht="15" customHeight="1">
      <c r="A56" s="46" t="inlineStr">
        <is>
          <t>3. COST OF SERVICES (DIRECT LABOR) ASSUMPTIONS</t>
        </is>
      </c>
      <c r="B56" s="46" t="n"/>
      <c r="C56" s="46" t="n"/>
      <c r="D56" s="46" t="n"/>
      <c r="E56" s="46" t="n"/>
      <c r="F56" s="46" t="n"/>
    </row>
    <row r="57" ht="15" customHeight="1">
      <c r="A57" s="63" t="n"/>
      <c r="B57" s="48" t="inlineStr">
        <is>
          <t>Worst</t>
        </is>
      </c>
      <c r="C57" s="48" t="inlineStr">
        <is>
          <t>Base / Value</t>
        </is>
      </c>
      <c r="D57" s="48" t="inlineStr">
        <is>
          <t>Best</t>
        </is>
      </c>
      <c r="E57" s="48" t="inlineStr">
        <is>
          <t>Selected (Active)</t>
        </is>
      </c>
      <c r="F57" s="48" t="inlineStr">
        <is>
          <t>Source / Notes</t>
        </is>
      </c>
    </row>
    <row r="58" ht="15" customHeight="1">
      <c r="A58" s="49" t="inlineStr">
        <is>
          <t>TTM Total Cost of Services (Direct Contractor Labor)</t>
        </is>
      </c>
      <c r="E58" s="76">
        <f>SUM('Monthly Financials'!P22:AA22)</f>
        <v>341777.20000000001</v>
      </c>
    </row>
    <row r="59" ht="15" customHeight="1">
      <c r="A59" s="49" t="inlineStr">
        <is>
          <t>Direct Labor — % of Net Revenue (Baseline)</t>
        </is>
      </c>
      <c r="E59" s="54">
        <f>E58/E50</f>
        <v>0.36256167911244247</v>
      </c>
      <c r="F59" s="89" t="inlineStr">
        <is>
          <t>Worst = contractor turnover/backfill cost during ownership transition</t>
        </is>
      </c>
    </row>
    <row r="60" ht="15" customHeight="1">
      <c r="A60" s="49" t="inlineStr">
        <is>
          <t>Year-1 Transition Efficiency Adjustment (pp added to Direct Labor %)</t>
        </is>
      </c>
      <c r="B60" s="66" t="n">
        <v>0.03</v>
      </c>
      <c r="C60" s="66" t="n">
        <v>-0.055</v>
      </c>
      <c r="D60" s="66" t="n">
        <v>-0.075</v>
      </c>
      <c r="E60" s="57">
        <f>CHOOSE(MATCH($C$5,{"Worst","Base","Best"},0),B60,C60,D60)</f>
        <v>-0.055</v>
      </c>
      <c r="F60" s="89" t="inlineStr">
        <is>
          <t xml:space="preserve"> Best = buyer identifies quick efficiencies. Reverts to baseline from Year 2 onward.</t>
        </is>
      </c>
    </row>
    <row r="62" ht="15" customHeight="1">
      <c r="A62" s="46" t="inlineStr">
        <is>
          <t>4. MARKETING ASSUMPTIONS</t>
        </is>
      </c>
      <c r="B62" s="46" t="n"/>
      <c r="C62" s="46" t="n"/>
      <c r="D62" s="46" t="n"/>
      <c r="E62" s="46" t="n"/>
      <c r="F62" s="46" t="n"/>
    </row>
    <row r="63" ht="15" customHeight="1">
      <c r="A63" s="63" t="n"/>
      <c r="B63" s="48" t="inlineStr">
        <is>
          <t>Worst</t>
        </is>
      </c>
      <c r="C63" s="48" t="inlineStr">
        <is>
          <t>Base / Value</t>
        </is>
      </c>
      <c r="D63" s="48" t="inlineStr">
        <is>
          <t>Best</t>
        </is>
      </c>
      <c r="E63" s="48" t="inlineStr">
        <is>
          <t>Selected (Active)</t>
        </is>
      </c>
      <c r="F63" s="48" t="inlineStr">
        <is>
          <t>Source / Notes</t>
        </is>
      </c>
    </row>
    <row r="64" ht="15" customHeight="1">
      <c r="A64" s="49" t="inlineStr">
        <is>
          <t>TTM Total Marketing Expenses</t>
        </is>
      </c>
      <c r="E64" s="76">
        <f>SUM('Monthly Financials'!P33:AA33)</f>
        <v>50918.490000000005</v>
      </c>
    </row>
    <row r="65" ht="15" customHeight="1">
      <c r="A65" s="49" t="inlineStr">
        <is>
          <t>Marketing — % of Net Revenue (Baseline)</t>
        </is>
      </c>
      <c r="E65" s="54">
        <f>E64/E50</f>
        <v>0.054014993487775408</v>
      </c>
    </row>
    <row r="66" ht="15" customHeight="1">
      <c r="A66" s="49" t="inlineStr">
        <is>
          <t>Annual Marketing Spend Growth Rate</t>
        </is>
      </c>
      <c r="B66" s="66" t="n">
        <v>0.15</v>
      </c>
      <c r="C66" s="66" t="n">
        <v>0.1</v>
      </c>
      <c r="D66" s="66" t="n">
        <v>0.04</v>
      </c>
      <c r="E66" s="57">
        <f>CHOOSE(MATCH($C$5,{"Worst","Base","Best"},0),B66,C66,D66)</f>
        <v>0.10000000000000001</v>
      </c>
      <c r="F66" s="65" t="inlineStr">
        <is>
          <t>Worst = must outspend, inefficiently, to fight attrition; Best = efficient spend, growing slower than revenue.</t>
        </is>
      </c>
    </row>
    <row r="68" ht="15" customHeight="1">
      <c r="A68" s="46" t="inlineStr">
        <is>
          <t>5. PERSONNEL &amp; LABOR ASSUMPTIONS (INDIRECT)</t>
        </is>
      </c>
      <c r="B68" s="46" t="n"/>
      <c r="C68" s="46" t="n"/>
      <c r="D68" s="46" t="n"/>
      <c r="E68" s="46" t="n"/>
      <c r="F68" s="46" t="n"/>
    </row>
    <row r="69" ht="15" customHeight="1">
      <c r="A69" s="63" t="n"/>
      <c r="B69" s="48" t="inlineStr">
        <is>
          <t>Worst</t>
        </is>
      </c>
      <c r="C69" s="48" t="inlineStr">
        <is>
          <t>Base / Value</t>
        </is>
      </c>
      <c r="D69" s="48" t="inlineStr">
        <is>
          <t>Best</t>
        </is>
      </c>
      <c r="E69" s="48" t="inlineStr">
        <is>
          <t>Selected (Active)</t>
        </is>
      </c>
      <c r="F69" s="48" t="inlineStr">
        <is>
          <t>Source / Notes</t>
        </is>
      </c>
    </row>
    <row r="70" ht="15" customHeight="1">
      <c r="A70" s="49" t="inlineStr">
        <is>
          <t>TTM Total Personnel &amp; Leadership (per Monthly Financials)</t>
        </is>
      </c>
      <c r="E70" s="76">
        <f>SUM('Monthly Financials'!P45:AA45)</f>
        <v>301886.88999999996</v>
      </c>
    </row>
    <row r="71" ht="15" customHeight="1">
      <c r="A71" s="49" t="inlineStr">
        <is>
          <t>TTM Owner's Pay (seller, per Monthly Financials)</t>
        </is>
      </c>
      <c r="E71" s="76">
        <f>SUM('Monthly Financials'!P40:AA40)</f>
        <v>61389.510000000002</v>
      </c>
    </row>
    <row r="72" ht="15" customHeight="1">
      <c r="A72" s="49" t="inlineStr">
        <is>
          <t>Existing Indirect Labor, Ex-Owner (Baseline $)</t>
        </is>
      </c>
      <c r="E72" s="50">
        <f>E70-E71</f>
        <v>240497.37999999995</v>
      </c>
    </row>
    <row r="73" ht="15" customHeight="1">
      <c r="A73" s="49" t="inlineStr">
        <is>
          <t>Annual Wage Inflation (Existing Team, Owner &amp; New Hire Comp)</t>
        </is>
      </c>
      <c r="B73" s="66" t="n">
        <v>0.05</v>
      </c>
      <c r="C73" s="66" t="n">
        <v>0.035</v>
      </c>
      <c r="D73" s="66" t="n">
        <v>0.025</v>
      </c>
      <c r="E73" s="57">
        <f>CHOOSE(MATCH($C$5,{"Worst","Base","Best"},0),B73,C73,D73)</f>
        <v>0.035000000000000003</v>
      </c>
    </row>
    <row r="74" ht="15" customHeight="1">
      <c r="A74" s="49" t="inlineStr">
        <is>
          <t>New Owner Compensation (Year 1)</t>
        </is>
      </c>
      <c r="B74" s="50">
        <f>C74</f>
        <v>72000</v>
      </c>
      <c r="C74" s="64" t="n">
        <v>72000</v>
      </c>
      <c r="D74" s="50">
        <f>C74</f>
        <v>72000</v>
      </c>
      <c r="E74" s="56">
        <f>C74</f>
        <v>72000</v>
      </c>
      <c r="F74" s="65" t="n"/>
    </row>
    <row r="75" ht="15" customHeight="1">
      <c r="A75" s="49" t="inlineStr">
        <is>
          <t>Additional Contractor/Employee Added at Close (Year 1)</t>
        </is>
      </c>
      <c r="E75" s="50" t="n">
        <v>0</v>
      </c>
      <c r="F75" s="65" t="n"/>
    </row>
    <row r="76" ht="15" customHeight="1">
      <c r="A76" s="49" t="inlineStr">
        <is>
          <t>Employer Payroll Tax Rate on New W-2 Positions</t>
        </is>
      </c>
      <c r="B76" s="54">
        <f>C76</f>
        <v>0.084000000000000005</v>
      </c>
      <c r="C76" s="66" t="n">
        <v>0.08400000000000001</v>
      </c>
      <c r="D76" s="54">
        <f>C76</f>
        <v>0.084000000000000005</v>
      </c>
      <c r="E76" s="57">
        <f>C76</f>
        <v>0.084000000000000005</v>
      </c>
      <c r="F76" s="65" t="n"/>
    </row>
    <row r="78" ht="15" customHeight="1">
      <c r="A78" s="46" t="inlineStr">
        <is>
          <t>6. SOFTWARE &amp; SYSTEMS ASSUMPTIONS</t>
        </is>
      </c>
      <c r="B78" s="46" t="n"/>
      <c r="C78" s="46" t="n"/>
      <c r="D78" s="46" t="n"/>
      <c r="E78" s="46" t="n"/>
      <c r="F78" s="46" t="n"/>
    </row>
    <row r="79" ht="15" customHeight="1">
      <c r="A79" s="63" t="n"/>
      <c r="B79" s="48" t="inlineStr">
        <is>
          <t>Worst</t>
        </is>
      </c>
      <c r="C79" s="48" t="inlineStr">
        <is>
          <t>Base / Value</t>
        </is>
      </c>
      <c r="D79" s="48" t="inlineStr">
        <is>
          <t>Best</t>
        </is>
      </c>
      <c r="E79" s="48" t="inlineStr">
        <is>
          <t>Selected (Active)</t>
        </is>
      </c>
      <c r="F79" s="48" t="inlineStr">
        <is>
          <t>Source / Notes</t>
        </is>
      </c>
    </row>
    <row r="80" ht="15" customHeight="1">
      <c r="A80" s="49" t="inlineStr">
        <is>
          <t>TTM Software &amp; Systems (G&amp;A Softwares + Marketing Softwares/Subscriptions)</t>
        </is>
      </c>
      <c r="E80" s="76">
        <f>SUM('Monthly Financials'!P48:AA48)+SUM('Monthly Financials'!P29:AA30)</f>
        <v>42514.630000000005</v>
      </c>
    </row>
    <row r="81" ht="15" customHeight="1">
      <c r="A81" s="49" t="inlineStr">
        <is>
          <t>Software — % of Net Revenue (Baseline)</t>
        </is>
      </c>
      <c r="E81" s="54">
        <f>E80/E50</f>
        <v>0.045100069986073445</v>
      </c>
    </row>
    <row r="82" ht="15" customHeight="1">
      <c r="A82" s="49" t="inlineStr">
        <is>
          <t>Annual Software Cost Growth Rate (SaaS Price Inflation / Seat Growth)</t>
        </is>
      </c>
      <c r="B82" s="66" t="n">
        <v>0.1</v>
      </c>
      <c r="C82" s="66" t="n">
        <v>0.05</v>
      </c>
      <c r="D82" s="66" t="n">
        <v>0.03</v>
      </c>
      <c r="E82" s="57">
        <f>CHOOSE(MATCH($C$5,{"Worst","Base","Best"},0),B82,C82,D82)</f>
        <v>0.050000000000000003</v>
      </c>
    </row>
    <row r="84" ht="15" customHeight="1">
      <c r="A84" s="46" t="inlineStr">
        <is>
          <t>7. GENERAL &amp; ADMINISTRATIVE / FEES ASSUMPTIONS</t>
        </is>
      </c>
      <c r="B84" s="46" t="n"/>
      <c r="C84" s="46" t="n"/>
      <c r="D84" s="46" t="n"/>
      <c r="E84" s="46" t="n"/>
      <c r="F84" s="46" t="n"/>
    </row>
    <row r="85" ht="15" customHeight="1">
      <c r="A85" s="63" t="n"/>
      <c r="B85" s="48" t="inlineStr">
        <is>
          <t>Worst</t>
        </is>
      </c>
      <c r="C85" s="48" t="inlineStr">
        <is>
          <t>Base / Value</t>
        </is>
      </c>
      <c r="D85" s="48" t="inlineStr">
        <is>
          <t>Best</t>
        </is>
      </c>
      <c r="E85" s="48" t="inlineStr">
        <is>
          <t>Selected (Active)</t>
        </is>
      </c>
      <c r="F85" s="48" t="inlineStr">
        <is>
          <t>Source / Notes</t>
        </is>
      </c>
    </row>
    <row r="86" ht="15" customHeight="1">
      <c r="A86" s="49" t="inlineStr">
        <is>
          <t>TTM Total General &amp; Administrative (per Monthly Financials)</t>
        </is>
      </c>
      <c r="E86" s="76">
        <f>SUM('Monthly Financials'!P64:AA64)+24000</f>
        <v>82623.190000000002</v>
      </c>
    </row>
    <row r="87" ht="15" customHeight="1">
      <c r="A87" s="49" t="inlineStr">
        <is>
          <t>TTM G&amp;A, Ex-Software (Baseline $)</t>
        </is>
      </c>
      <c r="E87" s="50">
        <f>E86-E80</f>
        <v>40108.559999999998</v>
      </c>
    </row>
    <row r="88" ht="15" customHeight="1">
      <c r="A88" s="49" t="inlineStr">
        <is>
          <t>TTM Fees and Charges (Bank &amp; Credit Card Fees)</t>
        </is>
      </c>
      <c r="E88" s="76">
        <f>SUM('Monthly Financials'!P69:AA69)</f>
        <v>30255.360000000001</v>
      </c>
    </row>
    <row r="89" ht="15" customHeight="1">
      <c r="A89" s="49" t="inlineStr">
        <is>
          <t>Fees &amp; Charges — % of Net Revenue (Baseline)</t>
        </is>
      </c>
      <c r="E89" s="54">
        <f>E88/E50</f>
        <v>0.032095277636283018</v>
      </c>
      <c r="F89" s="65" t="inlineStr">
        <is>
          <t>Transaction-linked; held constant as a % of revenue.</t>
        </is>
      </c>
    </row>
    <row r="90" ht="15" customHeight="1">
      <c r="A90" s="49" t="inlineStr">
        <is>
          <t>Annual G&amp;A Inflation Rate (Ex-Software)</t>
        </is>
      </c>
      <c r="B90" s="66" t="n">
        <v>0.05</v>
      </c>
      <c r="C90" s="66" t="n">
        <v>0.03</v>
      </c>
      <c r="D90" s="66" t="n">
        <v>0.02</v>
      </c>
      <c r="E90" s="57">
        <f>CHOOSE(MATCH($C$5,{"Worst","Base","Best"},0),B90,C90,D90)</f>
        <v>0.029999999999999999</v>
      </c>
    </row>
    <row r="92" ht="15" customHeight="1">
      <c r="A92" s="46" t="inlineStr">
        <is>
          <t>8. FIXED ASSETS, GOODWILL &amp; AMORTIZATION ASSUMPTIONS</t>
        </is>
      </c>
      <c r="B92" s="46" t="n"/>
      <c r="C92" s="46" t="n"/>
      <c r="D92" s="46" t="n"/>
      <c r="E92" s="46" t="n"/>
      <c r="F92" s="46" t="n"/>
    </row>
    <row r="93" ht="15" customHeight="1">
      <c r="A93" s="63" t="n"/>
      <c r="B93" s="48" t="inlineStr">
        <is>
          <t>Worst</t>
        </is>
      </c>
      <c r="C93" s="48" t="inlineStr">
        <is>
          <t>Base / Value</t>
        </is>
      </c>
      <c r="D93" s="48" t="inlineStr">
        <is>
          <t>Best</t>
        </is>
      </c>
      <c r="E93" s="48" t="inlineStr">
        <is>
          <t>Selected (Active)</t>
        </is>
      </c>
      <c r="F93" s="48" t="inlineStr">
        <is>
          <t>Source / Notes</t>
        </is>
      </c>
    </row>
    <row r="94" ht="15" customHeight="1">
      <c r="A94" s="49" t="inlineStr">
        <is>
          <t>Tangible Fixed Assets Acquired at Close</t>
        </is>
      </c>
      <c r="B94" s="50">
        <f>C94</f>
        <v>0</v>
      </c>
      <c r="C94" s="64" t="n">
        <v>0</v>
      </c>
      <c r="D94" s="50">
        <f>C94</f>
        <v>0</v>
      </c>
      <c r="E94" s="56">
        <f>C94</f>
        <v>0</v>
      </c>
      <c r="F94" s="65" t="n"/>
    </row>
    <row r="95" ht="15" customHeight="1">
      <c r="A95" s="74" t="inlineStr">
        <is>
          <t>Goodwill / Intangible Assets (Purchase Price Allocation)</t>
        </is>
      </c>
      <c r="E95" s="56">
        <f>E10-E94</f>
        <v>540000</v>
      </c>
    </row>
    <row r="96" ht="15" customHeight="1">
      <c r="A96" s="49" t="inlineStr">
        <is>
          <t>Intangible Amortization Period (Years)</t>
        </is>
      </c>
      <c r="B96" s="68">
        <f>C96</f>
        <v>15</v>
      </c>
      <c r="C96" s="69" t="n">
        <v>15</v>
      </c>
      <c r="D96" s="68">
        <f>C96</f>
        <v>15</v>
      </c>
      <c r="E96" s="70">
        <f>C96</f>
        <v>15</v>
      </c>
      <c r="F96" s="65" t="inlineStr">
        <is>
          <t>IRS Section 197 standard for acquired goodwill/intangibles.</t>
        </is>
      </c>
    </row>
    <row r="97" ht="15" customHeight="1">
      <c r="A97" s="49" t="inlineStr">
        <is>
          <t>Annual Intangible Amortization</t>
        </is>
      </c>
      <c r="E97" s="50">
        <f>E95/E96</f>
        <v>36000</v>
      </c>
    </row>
    <row r="98" ht="15" customHeight="1">
      <c r="A98" s="49" t="inlineStr">
        <is>
          <t>Fixed-Asset Depreciation Period (Years)</t>
        </is>
      </c>
      <c r="B98" s="68">
        <f>C98</f>
        <v>5</v>
      </c>
      <c r="C98" s="69" t="n">
        <v>5</v>
      </c>
      <c r="D98" s="68">
        <f>C98</f>
        <v>5</v>
      </c>
      <c r="E98" s="70">
        <f>C98</f>
        <v>5</v>
      </c>
      <c r="F98" s="65" t="inlineStr">
        <is>
          <t>Straight-line.</t>
        </is>
      </c>
    </row>
    <row r="99" ht="15" customHeight="1">
      <c r="A99" s="49" t="inlineStr">
        <is>
          <t>Annual Fixed-Asset Depreciation</t>
        </is>
      </c>
      <c r="E99" s="50">
        <f>E94/E98</f>
        <v>0</v>
      </c>
    </row>
    <row r="100" ht="15" customHeight="1">
      <c r="A100" s="74" t="inlineStr">
        <is>
          <t>Total Annual Depreciation &amp; Amortization</t>
        </is>
      </c>
      <c r="E100" s="56">
        <f>E97+E99</f>
        <v>36000</v>
      </c>
    </row>
    <row r="102" ht="15" customHeight="1">
      <c r="A102" s="46" t="inlineStr">
        <is>
          <t>9. WORKING CAPITAL ASSUMPTIONS</t>
        </is>
      </c>
      <c r="B102" s="46" t="n"/>
      <c r="C102" s="46" t="n"/>
      <c r="D102" s="46" t="n"/>
      <c r="E102" s="46" t="n"/>
      <c r="F102" s="46" t="n"/>
    </row>
    <row r="103" ht="15" customHeight="1">
      <c r="A103" s="63" t="n"/>
      <c r="B103" s="48" t="inlineStr">
        <is>
          <t>Worst</t>
        </is>
      </c>
      <c r="C103" s="48" t="inlineStr">
        <is>
          <t>Base / Value</t>
        </is>
      </c>
      <c r="D103" s="48" t="inlineStr">
        <is>
          <t>Best</t>
        </is>
      </c>
      <c r="E103" s="48" t="inlineStr">
        <is>
          <t>Selected (Active)</t>
        </is>
      </c>
      <c r="F103" s="48" t="inlineStr">
        <is>
          <t>Source / Notes</t>
        </is>
      </c>
    </row>
    <row r="104" ht="15" customHeight="1">
      <c r="A104" s="49" t="inlineStr">
        <is>
          <t>Net Working Capital (Ex-Cash) — % of Net Revenue</t>
        </is>
      </c>
      <c r="B104" s="54">
        <f>C104</f>
        <v>-0.0050000000000000001</v>
      </c>
      <c r="C104" s="66" t="n">
        <v>-0.005</v>
      </c>
      <c r="D104" s="54">
        <f>C104</f>
        <v>-0.0050000000000000001</v>
      </c>
      <c r="E104" s="57">
        <f>C104</f>
        <v>-0.0050000000000000001</v>
      </c>
      <c r="F104" s="89" t="inlineStr">
        <is>
          <t xml:space="preserve">Actual TTM ratio is approximately −0.52% (per Schedule 7 of Monthly Financials) </t>
        </is>
      </c>
    </row>
    <row r="105" ht="15" customHeight="1">
      <c r="A105" s="74" t="inlineStr">
        <is>
          <t>Initial Working Capital Injection (Opening Cash at Close)</t>
        </is>
      </c>
      <c r="E105" s="56">
        <f>E12</f>
        <v>29999.700000000001</v>
      </c>
    </row>
    <row r="107" ht="15" customHeight="1">
      <c r="A107" s="46" t="inlineStr">
        <is>
          <t>10. TAX ASSUMPTIONS (PASS-THROUGH ENTITY)</t>
        </is>
      </c>
      <c r="B107" s="46" t="n"/>
      <c r="C107" s="46" t="n"/>
      <c r="D107" s="46" t="n"/>
      <c r="E107" s="46" t="n"/>
      <c r="F107" s="46" t="n"/>
    </row>
    <row r="108" ht="15" customHeight="1">
      <c r="A108" s="63" t="n"/>
      <c r="B108" s="48" t="inlineStr">
        <is>
          <t>Worst</t>
        </is>
      </c>
      <c r="C108" s="48" t="inlineStr">
        <is>
          <t>Base / Value</t>
        </is>
      </c>
      <c r="D108" s="48" t="inlineStr">
        <is>
          <t>Best</t>
        </is>
      </c>
      <c r="E108" s="48" t="inlineStr">
        <is>
          <t>Selected (Active)</t>
        </is>
      </c>
      <c r="F108" s="48" t="inlineStr">
        <is>
          <t>Source / Notes</t>
        </is>
      </c>
    </row>
    <row r="109" ht="15" customHeight="1">
      <c r="A109" s="55" t="inlineStr">
        <is>
          <t>LLC pass-through entity: no entity-level federal or state income tax is recorded on the Income Statement. Net income flows to the owner's personal return.</t>
        </is>
      </c>
    </row>
    <row r="110" ht="15" customHeight="1">
      <c r="A110" s="49" t="inlineStr">
        <is>
          <t>Assumed Owner Effective Tax Rate (for cash-distribution planning only)</t>
        </is>
      </c>
      <c r="B110" s="54">
        <f>C110</f>
        <v>0.14999999999999999</v>
      </c>
      <c r="C110" s="66" t="n">
        <v>0.15</v>
      </c>
      <c r="D110" s="54">
        <f>C110</f>
        <v>0.14999999999999999</v>
      </c>
      <c r="E110" s="57">
        <f>C110</f>
        <v>0.14999999999999999</v>
      </c>
      <c r="F110" s="65" t="inlineStr">
        <is>
          <t>Illustrative blended federal + state + self-employment effective rate; not a personal tax projection.</t>
        </is>
      </c>
    </row>
    <row r="112" ht="15" customHeight="1">
      <c r="A112" s="46" t="inlineStr">
        <is>
          <t>11. VALUATION (DCF) ASSUMPTIONS</t>
        </is>
      </c>
      <c r="B112" s="46" t="n"/>
      <c r="C112" s="46" t="n"/>
      <c r="D112" s="46" t="n"/>
      <c r="E112" s="46" t="n"/>
      <c r="F112" s="46" t="n"/>
    </row>
    <row r="113" ht="15" customHeight="1">
      <c r="A113" s="63" t="n"/>
      <c r="B113" s="48" t="inlineStr">
        <is>
          <t>Worst</t>
        </is>
      </c>
      <c r="C113" s="48" t="inlineStr">
        <is>
          <t>Base / Value</t>
        </is>
      </c>
      <c r="D113" s="48" t="inlineStr">
        <is>
          <t>Best</t>
        </is>
      </c>
      <c r="E113" s="48" t="inlineStr">
        <is>
          <t>Selected (Active)</t>
        </is>
      </c>
      <c r="F113" s="48" t="inlineStr">
        <is>
          <t>Source / Notes</t>
        </is>
      </c>
    </row>
    <row r="114" ht="15" customHeight="1">
      <c r="A114" s="49" t="inlineStr">
        <is>
          <t>Discount Rate (WACC Proxy)</t>
        </is>
      </c>
      <c r="B114" s="54">
        <f>C114</f>
        <v>0.115</v>
      </c>
      <c r="C114" s="66" t="n">
        <v>0.115</v>
      </c>
      <c r="D114" s="54">
        <f>C114</f>
        <v>0.115</v>
      </c>
      <c r="E114" s="57">
        <f>C114</f>
        <v>0.115</v>
      </c>
      <c r="F114" s="65" t="inlineStr">
        <is>
          <t>Per buyer instruction.</t>
        </is>
      </c>
    </row>
    <row r="115" ht="15" customHeight="1">
      <c r="A115" s="49" t="inlineStr">
        <is>
          <t>Terminal Growth Rate</t>
        </is>
      </c>
      <c r="B115" s="54">
        <f>C115</f>
        <v>0.029999999999999999</v>
      </c>
      <c r="C115" s="66" t="n">
        <v>0.03</v>
      </c>
      <c r="D115" s="54">
        <f>C115</f>
        <v>0.029999999999999999</v>
      </c>
      <c r="E115" s="57">
        <f>C115</f>
        <v>0.029999999999999999</v>
      </c>
      <c r="F115" s="65" t="n"/>
    </row>
  </sheetData>
  <dataValidations count="1">
    <dataValidation sqref="C5" showDropDown="0" showInputMessage="0" showErrorMessage="0" allowBlank="0" type="list">
      <formula1>"Worst,Base,Best"</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showOutlineSymbols="1"/>
    <pageSetUpPr/>
  </sheetPr>
  <dimension ref="A1:BO170"/>
  <sheetViews>
    <sheetView showGridLines="0" tabSelected="1" zoomScaleNormal="100" workbookViewId="0">
      <pane xSplit="1" ySplit="5" topLeftCell="B48" activePane="bottomRight" state="frozen"/>
      <selection pane="topRight" activeCell="B1" sqref="B1"/>
      <selection pane="bottomLeft" activeCell="A6" sqref="A6"/>
      <selection pane="bottomRight" activeCell="C167" sqref="C167"/>
    </sheetView>
  </sheetViews>
  <sheetFormatPr baseColWidth="8" defaultColWidth="8.7109375" defaultRowHeight="15"/>
  <cols>
    <col width="48" customWidth="1" min="1" max="1"/>
    <col width="14" customWidth="1" min="2" max="2"/>
    <col hidden="1" outlineLevel="1" width="12" customWidth="1" min="3" max="3"/>
    <col hidden="1" outlineLevel="1" width="12" customWidth="1" min="4" max="4"/>
    <col hidden="1" outlineLevel="1" width="12" customWidth="1" min="5" max="5"/>
    <col hidden="1" outlineLevel="1" width="12" customWidth="1" min="6" max="6"/>
    <col hidden="1" outlineLevel="1" width="12" customWidth="1" min="7" max="7"/>
    <col hidden="1" outlineLevel="1" width="12" customWidth="1" min="8" max="8"/>
    <col hidden="1" outlineLevel="1" width="12" customWidth="1" min="9" max="9"/>
    <col hidden="1" outlineLevel="1" width="12" customWidth="1" min="10" max="10"/>
    <col hidden="1" outlineLevel="1" width="12" customWidth="1" min="11" max="11"/>
    <col hidden="1" outlineLevel="1" width="12" customWidth="1" min="12" max="12"/>
    <col hidden="1" outlineLevel="1" width="12" customWidth="1" min="13" max="13"/>
    <col hidden="1" outlineLevel="1" width="12" customWidth="1" min="14" max="14"/>
    <col collapsed="1" width="15" customWidth="1" min="15" max="15"/>
    <col hidden="1" outlineLevel="1" width="12" customWidth="1" min="16" max="16"/>
    <col hidden="1" outlineLevel="1" width="12" customWidth="1" min="17" max="17"/>
    <col hidden="1" outlineLevel="1" width="12" customWidth="1" min="18" max="18"/>
    <col hidden="1" outlineLevel="1" width="12" customWidth="1" min="19" max="19"/>
    <col hidden="1" outlineLevel="1" width="12" customWidth="1" min="20" max="20"/>
    <col hidden="1" outlineLevel="1" width="12" customWidth="1" min="21" max="21"/>
    <col hidden="1" outlineLevel="1" width="12" customWidth="1" min="22" max="22"/>
    <col hidden="1" outlineLevel="1" width="12" customWidth="1" min="23" max="23"/>
    <col hidden="1" outlineLevel="1" width="12" customWidth="1" min="24" max="24"/>
    <col hidden="1" outlineLevel="1" width="12" customWidth="1" min="25" max="25"/>
    <col hidden="1" outlineLevel="1" width="12" customWidth="1" min="26" max="26"/>
    <col hidden="1" outlineLevel="1" width="12" customWidth="1" min="27" max="27"/>
    <col collapsed="1" width="15" customWidth="1" min="28" max="28"/>
    <col hidden="1" outlineLevel="1" width="12" customWidth="1" min="29" max="29"/>
    <col hidden="1" outlineLevel="1" width="12" customWidth="1" min="30" max="30"/>
    <col hidden="1" outlineLevel="1" width="12" customWidth="1" min="31" max="31"/>
    <col hidden="1" outlineLevel="1" width="12" customWidth="1" min="32" max="32"/>
    <col hidden="1" outlineLevel="1" width="12" customWidth="1" min="33" max="33"/>
    <col hidden="1" outlineLevel="1" width="12" customWidth="1" min="34" max="34"/>
    <col hidden="1" outlineLevel="1" width="12" customWidth="1" min="35" max="35"/>
    <col hidden="1" outlineLevel="1" width="12" customWidth="1" min="36" max="36"/>
    <col hidden="1" outlineLevel="1" width="12" customWidth="1" min="37" max="37"/>
    <col hidden="1" outlineLevel="1" width="12" customWidth="1" min="38" max="38"/>
    <col hidden="1" outlineLevel="1" width="12" customWidth="1" min="39" max="39"/>
    <col hidden="1" outlineLevel="1" width="12" customWidth="1" min="40" max="40"/>
    <col collapsed="1" width="15" customWidth="1" min="41" max="41"/>
    <col hidden="1" outlineLevel="1" width="12" customWidth="1" min="42" max="42"/>
    <col hidden="1" outlineLevel="1" width="12" customWidth="1" min="43" max="43"/>
    <col hidden="1" outlineLevel="1" width="12" customWidth="1" min="44" max="44"/>
    <col hidden="1" outlineLevel="1" width="12" customWidth="1" min="45" max="45"/>
    <col hidden="1" outlineLevel="1" width="12" customWidth="1" min="46" max="46"/>
    <col hidden="1" outlineLevel="1" width="12" customWidth="1" min="47" max="47"/>
    <col hidden="1" outlineLevel="1" width="12" customWidth="1" min="48" max="48"/>
    <col hidden="1" outlineLevel="1" width="12" customWidth="1" min="49" max="49"/>
    <col hidden="1" outlineLevel="1" width="12" customWidth="1" min="50" max="50"/>
    <col hidden="1" outlineLevel="1" width="12" customWidth="1" min="51" max="51"/>
    <col hidden="1" outlineLevel="1" width="12" customWidth="1" min="52" max="52"/>
    <col hidden="1" outlineLevel="1" width="12" customWidth="1" min="53" max="53"/>
    <col collapsed="1" width="15" customWidth="1" min="54" max="54"/>
    <col hidden="1" outlineLevel="1" width="12" customWidth="1" min="55" max="55"/>
    <col hidden="1" outlineLevel="1" width="12" customWidth="1" min="56" max="56"/>
    <col hidden="1" outlineLevel="1" width="12" customWidth="1" min="57" max="57"/>
    <col hidden="1" outlineLevel="1" width="12" customWidth="1" min="58" max="58"/>
    <col hidden="1" outlineLevel="1" width="12" customWidth="1" min="59" max="59"/>
    <col hidden="1" outlineLevel="1" width="12" customWidth="1" min="60" max="60"/>
    <col hidden="1" outlineLevel="1" width="12" customWidth="1" min="61" max="61"/>
    <col hidden="1" outlineLevel="1" width="12" customWidth="1" min="62" max="62"/>
    <col hidden="1" outlineLevel="1" width="12" customWidth="1" min="63" max="63"/>
    <col hidden="1" outlineLevel="1" width="12" customWidth="1" min="64" max="64"/>
    <col hidden="1" outlineLevel="1" width="12" customWidth="1" min="65" max="65"/>
    <col hidden="1" outlineLevel="1" width="12" customWidth="1" min="66" max="66"/>
    <col collapsed="1" width="15" customWidth="1" min="67" max="67"/>
  </cols>
  <sheetData>
    <row r="1" ht="18" customHeight="1">
      <c r="A1" s="43" t="inlineStr">
        <is>
          <t>Smart VAs LLC — Acquisition Model</t>
        </is>
      </c>
    </row>
    <row r="2" ht="15" customHeight="1">
      <c r="A2" s="44" t="inlineStr">
        <is>
          <t>5-Year Pro Forma Projections — Income Statement, Balance Sheet, Cash Flow, Schedules &amp; DCF</t>
        </is>
      </c>
    </row>
    <row r="3" ht="15" customHeight="1">
      <c r="A3" s="45" t="inlineStr">
        <is>
          <t>Currency: USD, whole dollars. Driven by the Assumptions tab — change the scenario selector on Assumptions!C5 (Worst / Base / Best) to reflex the entire model. Monthly detail: each year is grouped into 12 monthly columns (M1–M12), hidden by default — click the [+] above the year column to expand. Months are an even 1/12 allocation of each annual figure (balances are straight-lined between year-ends), so every month group foots exactly to its year column and no annual result changes.</t>
        </is>
      </c>
    </row>
    <row r="4"/>
    <row r="5" ht="15" customHeight="1">
      <c r="A5" s="46" t="inlineStr">
        <is>
          <t>INCOME STATEMENT (QUASI-SIMPLIFIED)</t>
        </is>
      </c>
      <c r="B5" s="46" t="n"/>
      <c r="C5" s="46" t="n"/>
      <c r="D5" s="46" t="n"/>
      <c r="E5" s="46" t="n"/>
      <c r="F5" s="46" t="n"/>
      <c r="G5" s="46" t="n"/>
    </row>
    <row r="6" ht="15" customHeight="1">
      <c r="A6" s="47" t="n"/>
      <c r="B6" s="48" t="n"/>
      <c r="C6" s="48" t="inlineStr">
        <is>
          <t>M1</t>
        </is>
      </c>
      <c r="D6" s="48" t="inlineStr">
        <is>
          <t>M2</t>
        </is>
      </c>
      <c r="E6" s="48" t="inlineStr">
        <is>
          <t>M3</t>
        </is>
      </c>
      <c r="F6" s="48" t="inlineStr">
        <is>
          <t>M4</t>
        </is>
      </c>
      <c r="G6" s="48" t="inlineStr">
        <is>
          <t>M5</t>
        </is>
      </c>
      <c r="H6" s="48" t="inlineStr">
        <is>
          <t>M6</t>
        </is>
      </c>
      <c r="I6" s="48" t="inlineStr">
        <is>
          <t>M7</t>
        </is>
      </c>
      <c r="J6" s="48" t="inlineStr">
        <is>
          <t>M8</t>
        </is>
      </c>
      <c r="K6" s="48" t="inlineStr">
        <is>
          <t>M9</t>
        </is>
      </c>
      <c r="L6" s="48" t="inlineStr">
        <is>
          <t>M10</t>
        </is>
      </c>
      <c r="M6" s="48" t="inlineStr">
        <is>
          <t>M11</t>
        </is>
      </c>
      <c r="N6" s="48" t="inlineStr">
        <is>
          <t>M12</t>
        </is>
      </c>
      <c r="O6" s="48" t="inlineStr">
        <is>
          <t>Year 1</t>
        </is>
      </c>
      <c r="P6" s="48" t="inlineStr">
        <is>
          <t>M1</t>
        </is>
      </c>
      <c r="Q6" s="48" t="inlineStr">
        <is>
          <t>M2</t>
        </is>
      </c>
      <c r="R6" s="48" t="inlineStr">
        <is>
          <t>M3</t>
        </is>
      </c>
      <c r="S6" s="48" t="inlineStr">
        <is>
          <t>M4</t>
        </is>
      </c>
      <c r="T6" s="48" t="inlineStr">
        <is>
          <t>M5</t>
        </is>
      </c>
      <c r="U6" s="48" t="inlineStr">
        <is>
          <t>M6</t>
        </is>
      </c>
      <c r="V6" s="48" t="inlineStr">
        <is>
          <t>M7</t>
        </is>
      </c>
      <c r="W6" s="48" t="inlineStr">
        <is>
          <t>M8</t>
        </is>
      </c>
      <c r="X6" s="48" t="inlineStr">
        <is>
          <t>M9</t>
        </is>
      </c>
      <c r="Y6" s="48" t="inlineStr">
        <is>
          <t>M10</t>
        </is>
      </c>
      <c r="Z6" s="48" t="inlineStr">
        <is>
          <t>M11</t>
        </is>
      </c>
      <c r="AA6" s="48" t="inlineStr">
        <is>
          <t>M12</t>
        </is>
      </c>
      <c r="AB6" s="48" t="inlineStr">
        <is>
          <t>Year 2</t>
        </is>
      </c>
      <c r="AC6" s="48" t="inlineStr">
        <is>
          <t>M1</t>
        </is>
      </c>
      <c r="AD6" s="48" t="inlineStr">
        <is>
          <t>M2</t>
        </is>
      </c>
      <c r="AE6" s="48" t="inlineStr">
        <is>
          <t>M3</t>
        </is>
      </c>
      <c r="AF6" s="48" t="inlineStr">
        <is>
          <t>M4</t>
        </is>
      </c>
      <c r="AG6" s="48" t="inlineStr">
        <is>
          <t>M5</t>
        </is>
      </c>
      <c r="AH6" s="48" t="inlineStr">
        <is>
          <t>M6</t>
        </is>
      </c>
      <c r="AI6" s="48" t="inlineStr">
        <is>
          <t>M7</t>
        </is>
      </c>
      <c r="AJ6" s="48" t="inlineStr">
        <is>
          <t>M8</t>
        </is>
      </c>
      <c r="AK6" s="48" t="inlineStr">
        <is>
          <t>M9</t>
        </is>
      </c>
      <c r="AL6" s="48" t="inlineStr">
        <is>
          <t>M10</t>
        </is>
      </c>
      <c r="AM6" s="48" t="inlineStr">
        <is>
          <t>M11</t>
        </is>
      </c>
      <c r="AN6" s="48" t="inlineStr">
        <is>
          <t>M12</t>
        </is>
      </c>
      <c r="AO6" s="48" t="inlineStr">
        <is>
          <t>Year 3</t>
        </is>
      </c>
      <c r="AP6" s="48" t="inlineStr">
        <is>
          <t>M1</t>
        </is>
      </c>
      <c r="AQ6" s="48" t="inlineStr">
        <is>
          <t>M2</t>
        </is>
      </c>
      <c r="AR6" s="48" t="inlineStr">
        <is>
          <t>M3</t>
        </is>
      </c>
      <c r="AS6" s="48" t="inlineStr">
        <is>
          <t>M4</t>
        </is>
      </c>
      <c r="AT6" s="48" t="inlineStr">
        <is>
          <t>M5</t>
        </is>
      </c>
      <c r="AU6" s="48" t="inlineStr">
        <is>
          <t>M6</t>
        </is>
      </c>
      <c r="AV6" s="48" t="inlineStr">
        <is>
          <t>M7</t>
        </is>
      </c>
      <c r="AW6" s="48" t="inlineStr">
        <is>
          <t>M8</t>
        </is>
      </c>
      <c r="AX6" s="48" t="inlineStr">
        <is>
          <t>M9</t>
        </is>
      </c>
      <c r="AY6" s="48" t="inlineStr">
        <is>
          <t>M10</t>
        </is>
      </c>
      <c r="AZ6" s="48" t="inlineStr">
        <is>
          <t>M11</t>
        </is>
      </c>
      <c r="BA6" s="48" t="inlineStr">
        <is>
          <t>M12</t>
        </is>
      </c>
      <c r="BB6" s="48" t="inlineStr">
        <is>
          <t>Year 4</t>
        </is>
      </c>
      <c r="BC6" s="48" t="inlineStr">
        <is>
          <t>M1</t>
        </is>
      </c>
      <c r="BD6" s="48" t="inlineStr">
        <is>
          <t>M2</t>
        </is>
      </c>
      <c r="BE6" s="48" t="inlineStr">
        <is>
          <t>M3</t>
        </is>
      </c>
      <c r="BF6" s="48" t="inlineStr">
        <is>
          <t>M4</t>
        </is>
      </c>
      <c r="BG6" s="48" t="inlineStr">
        <is>
          <t>M5</t>
        </is>
      </c>
      <c r="BH6" s="48" t="inlineStr">
        <is>
          <t>M6</t>
        </is>
      </c>
      <c r="BI6" s="48" t="inlineStr">
        <is>
          <t>M7</t>
        </is>
      </c>
      <c r="BJ6" s="48" t="inlineStr">
        <is>
          <t>M8</t>
        </is>
      </c>
      <c r="BK6" s="48" t="inlineStr">
        <is>
          <t>M9</t>
        </is>
      </c>
      <c r="BL6" s="48" t="inlineStr">
        <is>
          <t>M10</t>
        </is>
      </c>
      <c r="BM6" s="48" t="inlineStr">
        <is>
          <t>M11</t>
        </is>
      </c>
      <c r="BN6" s="48" t="inlineStr">
        <is>
          <t>M12</t>
        </is>
      </c>
      <c r="BO6" s="48" t="inlineStr">
        <is>
          <t>Year 5</t>
        </is>
      </c>
    </row>
    <row r="7" ht="15" customHeight="1">
      <c r="A7" s="60" t="inlineStr">
        <is>
          <t>Net Revenue</t>
        </is>
      </c>
      <c r="C7" s="56">
        <f>$O7/12</f>
        <v>82091.129724999992</v>
      </c>
      <c r="D7" s="56">
        <f>$O7/12</f>
        <v>82091.129724999992</v>
      </c>
      <c r="E7" s="56">
        <f>$O7/12</f>
        <v>82091.129724999992</v>
      </c>
      <c r="F7" s="56">
        <f>$O7/12</f>
        <v>82091.129724999992</v>
      </c>
      <c r="G7" s="56">
        <f>$O7/12</f>
        <v>82091.129724999992</v>
      </c>
      <c r="H7" s="56">
        <f>$O7/12</f>
        <v>82091.129724999992</v>
      </c>
      <c r="I7" s="56">
        <f>$O7/12</f>
        <v>82091.129724999992</v>
      </c>
      <c r="J7" s="56">
        <f>$O7/12</f>
        <v>82091.129724999992</v>
      </c>
      <c r="K7" s="56">
        <f>$O7/12</f>
        <v>82091.129724999992</v>
      </c>
      <c r="L7" s="56">
        <f>$O7/12</f>
        <v>82091.129724999992</v>
      </c>
      <c r="M7" s="56">
        <f>$O7/12</f>
        <v>82091.129724999992</v>
      </c>
      <c r="N7" s="56">
        <f>$O7/12</f>
        <v>82091.129724999992</v>
      </c>
      <c r="O7" s="56">
        <f>Assumptions!E50*(1+Assumptions!E54)</f>
        <v>985093.55669999984</v>
      </c>
      <c r="P7" s="56">
        <f>$AB7/12</f>
        <v>85785.230562624973</v>
      </c>
      <c r="Q7" s="56">
        <f>$AB7/12</f>
        <v>85785.230562624973</v>
      </c>
      <c r="R7" s="56">
        <f>$AB7/12</f>
        <v>85785.230562624973</v>
      </c>
      <c r="S7" s="56">
        <f>$AB7/12</f>
        <v>85785.230562624973</v>
      </c>
      <c r="T7" s="56">
        <f>$AB7/12</f>
        <v>85785.230562624973</v>
      </c>
      <c r="U7" s="56">
        <f>$AB7/12</f>
        <v>85785.230562624973</v>
      </c>
      <c r="V7" s="56">
        <f>$AB7/12</f>
        <v>85785.230562624973</v>
      </c>
      <c r="W7" s="56">
        <f>$AB7/12</f>
        <v>85785.230562624973</v>
      </c>
      <c r="X7" s="56">
        <f>$AB7/12</f>
        <v>85785.230562624973</v>
      </c>
      <c r="Y7" s="56">
        <f>$AB7/12</f>
        <v>85785.230562624973</v>
      </c>
      <c r="Z7" s="56">
        <f>$AB7/12</f>
        <v>85785.230562624973</v>
      </c>
      <c r="AA7" s="56">
        <f>$AB7/12</f>
        <v>85785.230562624973</v>
      </c>
      <c r="AB7" s="56">
        <f>O7*(1+Assumptions!E54)</f>
        <v>1029422.7667514997</v>
      </c>
      <c r="AC7" s="56">
        <f>$AO7/12</f>
        <v>89645.565937943102</v>
      </c>
      <c r="AD7" s="56">
        <f>$AO7/12</f>
        <v>89645.565937943102</v>
      </c>
      <c r="AE7" s="56">
        <f>$AO7/12</f>
        <v>89645.565937943102</v>
      </c>
      <c r="AF7" s="56">
        <f>$AO7/12</f>
        <v>89645.565937943102</v>
      </c>
      <c r="AG7" s="56">
        <f>$AO7/12</f>
        <v>89645.565937943102</v>
      </c>
      <c r="AH7" s="56">
        <f>$AO7/12</f>
        <v>89645.565937943102</v>
      </c>
      <c r="AI7" s="56">
        <f>$AO7/12</f>
        <v>89645.565937943102</v>
      </c>
      <c r="AJ7" s="56">
        <f>$AO7/12</f>
        <v>89645.565937943102</v>
      </c>
      <c r="AK7" s="56">
        <f>$AO7/12</f>
        <v>89645.565937943102</v>
      </c>
      <c r="AL7" s="56">
        <f>$AO7/12</f>
        <v>89645.565937943102</v>
      </c>
      <c r="AM7" s="56">
        <f>$AO7/12</f>
        <v>89645.565937943102</v>
      </c>
      <c r="AN7" s="56">
        <f>$AO7/12</f>
        <v>89645.565937943102</v>
      </c>
      <c r="AO7" s="56">
        <f>AB7*(1+Assumptions!E54)</f>
        <v>1075746.7912553172</v>
      </c>
      <c r="AP7" s="56">
        <f>$BB7/12</f>
        <v>93679.616405150518</v>
      </c>
      <c r="AQ7" s="56">
        <f>$BB7/12</f>
        <v>93679.616405150518</v>
      </c>
      <c r="AR7" s="56">
        <f>$BB7/12</f>
        <v>93679.616405150518</v>
      </c>
      <c r="AS7" s="56">
        <f>$BB7/12</f>
        <v>93679.616405150518</v>
      </c>
      <c r="AT7" s="56">
        <f>$BB7/12</f>
        <v>93679.616405150518</v>
      </c>
      <c r="AU7" s="56">
        <f>$BB7/12</f>
        <v>93679.616405150518</v>
      </c>
      <c r="AV7" s="56">
        <f>$BB7/12</f>
        <v>93679.616405150518</v>
      </c>
      <c r="AW7" s="56">
        <f>$BB7/12</f>
        <v>93679.616405150518</v>
      </c>
      <c r="AX7" s="56">
        <f>$BB7/12</f>
        <v>93679.616405150518</v>
      </c>
      <c r="AY7" s="56">
        <f>$BB7/12</f>
        <v>93679.616405150518</v>
      </c>
      <c r="AZ7" s="56">
        <f>$BB7/12</f>
        <v>93679.616405150518</v>
      </c>
      <c r="BA7" s="56">
        <f>$BB7/12</f>
        <v>93679.616405150518</v>
      </c>
      <c r="BB7" s="56">
        <f>AO7*(1+Assumptions!E54)</f>
        <v>1124155.3968618063</v>
      </c>
      <c r="BC7" s="56">
        <f>$BO7/12</f>
        <v>97895.199143382299</v>
      </c>
      <c r="BD7" s="56">
        <f>$BO7/12</f>
        <v>97895.199143382299</v>
      </c>
      <c r="BE7" s="56">
        <f>$BO7/12</f>
        <v>97895.199143382299</v>
      </c>
      <c r="BF7" s="56">
        <f>$BO7/12</f>
        <v>97895.199143382299</v>
      </c>
      <c r="BG7" s="56">
        <f>$BO7/12</f>
        <v>97895.199143382299</v>
      </c>
      <c r="BH7" s="56">
        <f>$BO7/12</f>
        <v>97895.199143382299</v>
      </c>
      <c r="BI7" s="56">
        <f>$BO7/12</f>
        <v>97895.199143382299</v>
      </c>
      <c r="BJ7" s="56">
        <f>$BO7/12</f>
        <v>97895.199143382299</v>
      </c>
      <c r="BK7" s="56">
        <f>$BO7/12</f>
        <v>97895.199143382299</v>
      </c>
      <c r="BL7" s="56">
        <f>$BO7/12</f>
        <v>97895.199143382299</v>
      </c>
      <c r="BM7" s="56">
        <f>$BO7/12</f>
        <v>97895.199143382299</v>
      </c>
      <c r="BN7" s="56">
        <f>$BO7/12</f>
        <v>97895.199143382299</v>
      </c>
      <c r="BO7" s="56">
        <f>BB7*(1+Assumptions!E54)</f>
        <v>1174742.3897205875</v>
      </c>
    </row>
    <row r="8" ht="15" customHeight="1">
      <c r="A8" s="49" t="inlineStr">
        <is>
          <t>Direct Labor — % of Net Revenue</t>
        </is>
      </c>
      <c r="C8" s="54">
        <f>$O8</f>
        <v>0.30756167911244248</v>
      </c>
      <c r="D8" s="54">
        <f>$O8</f>
        <v>0.30756167911244248</v>
      </c>
      <c r="E8" s="54">
        <f>$O8</f>
        <v>0.30756167911244248</v>
      </c>
      <c r="F8" s="54">
        <f>$O8</f>
        <v>0.30756167911244248</v>
      </c>
      <c r="G8" s="54">
        <f>$O8</f>
        <v>0.30756167911244248</v>
      </c>
      <c r="H8" s="54">
        <f>$O8</f>
        <v>0.30756167911244248</v>
      </c>
      <c r="I8" s="54">
        <f>$O8</f>
        <v>0.30756167911244248</v>
      </c>
      <c r="J8" s="54">
        <f>$O8</f>
        <v>0.30756167911244248</v>
      </c>
      <c r="K8" s="54">
        <f>$O8</f>
        <v>0.30756167911244248</v>
      </c>
      <c r="L8" s="54">
        <f>$O8</f>
        <v>0.30756167911244248</v>
      </c>
      <c r="M8" s="54">
        <f>$O8</f>
        <v>0.30756167911244248</v>
      </c>
      <c r="N8" s="54">
        <f>$O8</f>
        <v>0.30756167911244248</v>
      </c>
      <c r="O8" s="54">
        <f>Assumptions!E59+Assumptions!E60</f>
        <v>0.30756167911244248</v>
      </c>
      <c r="P8" s="54">
        <f>$AB8</f>
        <v>0.36256167911244247</v>
      </c>
      <c r="Q8" s="54">
        <f>$AB8</f>
        <v>0.36256167911244247</v>
      </c>
      <c r="R8" s="54">
        <f>$AB8</f>
        <v>0.36256167911244247</v>
      </c>
      <c r="S8" s="54">
        <f>$AB8</f>
        <v>0.36256167911244247</v>
      </c>
      <c r="T8" s="54">
        <f>$AB8</f>
        <v>0.36256167911244247</v>
      </c>
      <c r="U8" s="54">
        <f>$AB8</f>
        <v>0.36256167911244247</v>
      </c>
      <c r="V8" s="54">
        <f>$AB8</f>
        <v>0.36256167911244247</v>
      </c>
      <c r="W8" s="54">
        <f>$AB8</f>
        <v>0.36256167911244247</v>
      </c>
      <c r="X8" s="54">
        <f>$AB8</f>
        <v>0.36256167911244247</v>
      </c>
      <c r="Y8" s="54">
        <f>$AB8</f>
        <v>0.36256167911244247</v>
      </c>
      <c r="Z8" s="54">
        <f>$AB8</f>
        <v>0.36256167911244247</v>
      </c>
      <c r="AA8" s="54">
        <f>$AB8</f>
        <v>0.36256167911244247</v>
      </c>
      <c r="AB8" s="54">
        <f>Assumptions!E59</f>
        <v>0.36256167911244247</v>
      </c>
      <c r="AC8" s="54">
        <f>$AO8</f>
        <v>0.36256167911244247</v>
      </c>
      <c r="AD8" s="54">
        <f>$AO8</f>
        <v>0.36256167911244247</v>
      </c>
      <c r="AE8" s="54">
        <f>$AO8</f>
        <v>0.36256167911244247</v>
      </c>
      <c r="AF8" s="54">
        <f>$AO8</f>
        <v>0.36256167911244247</v>
      </c>
      <c r="AG8" s="54">
        <f>$AO8</f>
        <v>0.36256167911244247</v>
      </c>
      <c r="AH8" s="54">
        <f>$AO8</f>
        <v>0.36256167911244247</v>
      </c>
      <c r="AI8" s="54">
        <f>$AO8</f>
        <v>0.36256167911244247</v>
      </c>
      <c r="AJ8" s="54">
        <f>$AO8</f>
        <v>0.36256167911244247</v>
      </c>
      <c r="AK8" s="54">
        <f>$AO8</f>
        <v>0.36256167911244247</v>
      </c>
      <c r="AL8" s="54">
        <f>$AO8</f>
        <v>0.36256167911244247</v>
      </c>
      <c r="AM8" s="54">
        <f>$AO8</f>
        <v>0.36256167911244247</v>
      </c>
      <c r="AN8" s="54">
        <f>$AO8</f>
        <v>0.36256167911244247</v>
      </c>
      <c r="AO8" s="54">
        <f>Assumptions!E59</f>
        <v>0.36256167911244247</v>
      </c>
      <c r="AP8" s="54">
        <f>$BB8</f>
        <v>0.36256167911244247</v>
      </c>
      <c r="AQ8" s="54">
        <f>$BB8</f>
        <v>0.36256167911244247</v>
      </c>
      <c r="AR8" s="54">
        <f>$BB8</f>
        <v>0.36256167911244247</v>
      </c>
      <c r="AS8" s="54">
        <f>$BB8</f>
        <v>0.36256167911244247</v>
      </c>
      <c r="AT8" s="54">
        <f>$BB8</f>
        <v>0.36256167911244247</v>
      </c>
      <c r="AU8" s="54">
        <f>$BB8</f>
        <v>0.36256167911244247</v>
      </c>
      <c r="AV8" s="54">
        <f>$BB8</f>
        <v>0.36256167911244247</v>
      </c>
      <c r="AW8" s="54">
        <f>$BB8</f>
        <v>0.36256167911244247</v>
      </c>
      <c r="AX8" s="54">
        <f>$BB8</f>
        <v>0.36256167911244247</v>
      </c>
      <c r="AY8" s="54">
        <f>$BB8</f>
        <v>0.36256167911244247</v>
      </c>
      <c r="AZ8" s="54">
        <f>$BB8</f>
        <v>0.36256167911244247</v>
      </c>
      <c r="BA8" s="54">
        <f>$BB8</f>
        <v>0.36256167911244247</v>
      </c>
      <c r="BB8" s="54">
        <f>Assumptions!E59</f>
        <v>0.36256167911244247</v>
      </c>
      <c r="BC8" s="54">
        <f>$BO8</f>
        <v>0.36256167911244247</v>
      </c>
      <c r="BD8" s="54">
        <f>$BO8</f>
        <v>0.36256167911244247</v>
      </c>
      <c r="BE8" s="54">
        <f>$BO8</f>
        <v>0.36256167911244247</v>
      </c>
      <c r="BF8" s="54">
        <f>$BO8</f>
        <v>0.36256167911244247</v>
      </c>
      <c r="BG8" s="54">
        <f>$BO8</f>
        <v>0.36256167911244247</v>
      </c>
      <c r="BH8" s="54">
        <f>$BO8</f>
        <v>0.36256167911244247</v>
      </c>
      <c r="BI8" s="54">
        <f>$BO8</f>
        <v>0.36256167911244247</v>
      </c>
      <c r="BJ8" s="54">
        <f>$BO8</f>
        <v>0.36256167911244247</v>
      </c>
      <c r="BK8" s="54">
        <f>$BO8</f>
        <v>0.36256167911244247</v>
      </c>
      <c r="BL8" s="54">
        <f>$BO8</f>
        <v>0.36256167911244247</v>
      </c>
      <c r="BM8" s="54">
        <f>$BO8</f>
        <v>0.36256167911244247</v>
      </c>
      <c r="BN8" s="54">
        <f>$BO8</f>
        <v>0.36256167911244247</v>
      </c>
      <c r="BO8" s="54">
        <f>Assumptions!E59</f>
        <v>0.36256167911244247</v>
      </c>
    </row>
    <row r="9" ht="15" customHeight="1">
      <c r="A9" s="49" t="inlineStr">
        <is>
          <t>Direct Labor (Cost of Services — Contractors)</t>
        </is>
      </c>
      <c r="C9" s="50">
        <f>C7*C8</f>
        <v>25248.085698458337</v>
      </c>
      <c r="D9" s="50">
        <f>D7*D8</f>
        <v>25248.085698458337</v>
      </c>
      <c r="E9" s="50">
        <f>E7*E8</f>
        <v>25248.085698458337</v>
      </c>
      <c r="F9" s="50">
        <f>F7*F8</f>
        <v>25248.085698458337</v>
      </c>
      <c r="G9" s="50">
        <f>G7*G8</f>
        <v>25248.085698458337</v>
      </c>
      <c r="H9" s="50">
        <f>H7*H8</f>
        <v>25248.085698458337</v>
      </c>
      <c r="I9" s="50">
        <f>I7*I8</f>
        <v>25248.085698458337</v>
      </c>
      <c r="J9" s="50">
        <f>J7*J8</f>
        <v>25248.085698458337</v>
      </c>
      <c r="K9" s="50">
        <f>K7*K8</f>
        <v>25248.085698458337</v>
      </c>
      <c r="L9" s="50">
        <f>L7*L8</f>
        <v>25248.085698458337</v>
      </c>
      <c r="M9" s="50">
        <f>M7*M8</f>
        <v>25248.085698458337</v>
      </c>
      <c r="N9" s="50">
        <f>N7*N8</f>
        <v>25248.085698458337</v>
      </c>
      <c r="O9" s="50">
        <f>O7*O8</f>
        <v>302977.02838149999</v>
      </c>
      <c r="P9" s="50">
        <f>P7*P8</f>
        <v>31102.437235833328</v>
      </c>
      <c r="Q9" s="50">
        <f>Q7*Q8</f>
        <v>31102.437235833328</v>
      </c>
      <c r="R9" s="50">
        <f>R7*R8</f>
        <v>31102.437235833328</v>
      </c>
      <c r="S9" s="50">
        <f>S7*S8</f>
        <v>31102.437235833328</v>
      </c>
      <c r="T9" s="50">
        <f>T7*T8</f>
        <v>31102.437235833328</v>
      </c>
      <c r="U9" s="50">
        <f>U7*U8</f>
        <v>31102.437235833328</v>
      </c>
      <c r="V9" s="50">
        <f>V7*V8</f>
        <v>31102.437235833328</v>
      </c>
      <c r="W9" s="50">
        <f>W7*W8</f>
        <v>31102.437235833328</v>
      </c>
      <c r="X9" s="50">
        <f>X7*X8</f>
        <v>31102.437235833328</v>
      </c>
      <c r="Y9" s="50">
        <f>Y7*Y8</f>
        <v>31102.437235833328</v>
      </c>
      <c r="Z9" s="50">
        <f>Z7*Z8</f>
        <v>31102.437235833328</v>
      </c>
      <c r="AA9" s="50">
        <f>AA7*AA8</f>
        <v>31102.437235833328</v>
      </c>
      <c r="AB9" s="50">
        <f>AB7*AB8</f>
        <v>373229.24682999996</v>
      </c>
      <c r="AC9" s="50">
        <f>AC7*AC8</f>
        <v>32502.046911445828</v>
      </c>
      <c r="AD9" s="50">
        <f>AD7*AD8</f>
        <v>32502.046911445828</v>
      </c>
      <c r="AE9" s="50">
        <f>AE7*AE8</f>
        <v>32502.046911445828</v>
      </c>
      <c r="AF9" s="50">
        <f>AF7*AF8</f>
        <v>32502.046911445828</v>
      </c>
      <c r="AG9" s="50">
        <f>AG7*AG8</f>
        <v>32502.046911445828</v>
      </c>
      <c r="AH9" s="50">
        <f>AH7*AH8</f>
        <v>32502.046911445828</v>
      </c>
      <c r="AI9" s="50">
        <f>AI7*AI8</f>
        <v>32502.046911445828</v>
      </c>
      <c r="AJ9" s="50">
        <f>AJ7*AJ8</f>
        <v>32502.046911445828</v>
      </c>
      <c r="AK9" s="50">
        <f>AK7*AK8</f>
        <v>32502.046911445828</v>
      </c>
      <c r="AL9" s="50">
        <f>AL7*AL8</f>
        <v>32502.046911445828</v>
      </c>
      <c r="AM9" s="50">
        <f>AM7*AM8</f>
        <v>32502.046911445828</v>
      </c>
      <c r="AN9" s="50">
        <f>AN7*AN8</f>
        <v>32502.046911445828</v>
      </c>
      <c r="AO9" s="50">
        <f>AO7*AO8</f>
        <v>390024.56293734995</v>
      </c>
      <c r="AP9" s="50">
        <f>AP7*AP8</f>
        <v>33964.639022460884</v>
      </c>
      <c r="AQ9" s="50">
        <f>AQ7*AQ8</f>
        <v>33964.639022460884</v>
      </c>
      <c r="AR9" s="50">
        <f>AR7*AR8</f>
        <v>33964.639022460884</v>
      </c>
      <c r="AS9" s="50">
        <f>AS7*AS8</f>
        <v>33964.639022460884</v>
      </c>
      <c r="AT9" s="50">
        <f>AT7*AT8</f>
        <v>33964.639022460884</v>
      </c>
      <c r="AU9" s="50">
        <f>AU7*AU8</f>
        <v>33964.639022460884</v>
      </c>
      <c r="AV9" s="50">
        <f>AV7*AV8</f>
        <v>33964.639022460884</v>
      </c>
      <c r="AW9" s="50">
        <f>AW7*AW8</f>
        <v>33964.639022460884</v>
      </c>
      <c r="AX9" s="50">
        <f>AX7*AX8</f>
        <v>33964.639022460884</v>
      </c>
      <c r="AY9" s="50">
        <f>AY7*AY8</f>
        <v>33964.639022460884</v>
      </c>
      <c r="AZ9" s="50">
        <f>AZ7*AZ8</f>
        <v>33964.639022460884</v>
      </c>
      <c r="BA9" s="50">
        <f>BA7*BA8</f>
        <v>33964.639022460884</v>
      </c>
      <c r="BB9" s="50">
        <f>BB7*BB8</f>
        <v>407575.66826953064</v>
      </c>
      <c r="BC9" s="50">
        <f>BC7*BC8</f>
        <v>35493.047778471628</v>
      </c>
      <c r="BD9" s="50">
        <f>BD7*BD8</f>
        <v>35493.047778471628</v>
      </c>
      <c r="BE9" s="50">
        <f>BE7*BE8</f>
        <v>35493.047778471628</v>
      </c>
      <c r="BF9" s="50">
        <f>BF7*BF8</f>
        <v>35493.047778471628</v>
      </c>
      <c r="BG9" s="50">
        <f>BG7*BG8</f>
        <v>35493.047778471628</v>
      </c>
      <c r="BH9" s="50">
        <f>BH7*BH8</f>
        <v>35493.047778471628</v>
      </c>
      <c r="BI9" s="50">
        <f>BI7*BI8</f>
        <v>35493.047778471628</v>
      </c>
      <c r="BJ9" s="50">
        <f>BJ7*BJ8</f>
        <v>35493.047778471628</v>
      </c>
      <c r="BK9" s="50">
        <f>BK7*BK8</f>
        <v>35493.047778471628</v>
      </c>
      <c r="BL9" s="50">
        <f>BL7*BL8</f>
        <v>35493.047778471628</v>
      </c>
      <c r="BM9" s="50">
        <f>BM7*BM8</f>
        <v>35493.047778471628</v>
      </c>
      <c r="BN9" s="50">
        <f>BN7*BN8</f>
        <v>35493.047778471628</v>
      </c>
      <c r="BO9" s="50">
        <f>BO7*BO8</f>
        <v>425916.5733416595</v>
      </c>
    </row>
    <row r="10" ht="15" customHeight="1">
      <c r="A10" s="60" t="inlineStr">
        <is>
          <t>Gross Profit</t>
        </is>
      </c>
      <c r="B10" s="53" t="n"/>
      <c r="C10" s="52">
        <f>C7-C9</f>
        <v>56843.044026541655</v>
      </c>
      <c r="D10" s="52">
        <f>D7-D9</f>
        <v>56843.044026541655</v>
      </c>
      <c r="E10" s="52">
        <f>E7-E9</f>
        <v>56843.044026541655</v>
      </c>
      <c r="F10" s="52">
        <f>F7-F9</f>
        <v>56843.044026541655</v>
      </c>
      <c r="G10" s="52">
        <f>G7-G9</f>
        <v>56843.044026541655</v>
      </c>
      <c r="H10" s="52">
        <f>H7-H9</f>
        <v>56843.044026541655</v>
      </c>
      <c r="I10" s="52">
        <f>I7-I9</f>
        <v>56843.044026541655</v>
      </c>
      <c r="J10" s="52">
        <f>J7-J9</f>
        <v>56843.044026541655</v>
      </c>
      <c r="K10" s="52">
        <f>K7-K9</f>
        <v>56843.044026541655</v>
      </c>
      <c r="L10" s="52">
        <f>L7-L9</f>
        <v>56843.044026541655</v>
      </c>
      <c r="M10" s="52">
        <f>M7-M9</f>
        <v>56843.044026541655</v>
      </c>
      <c r="N10" s="52">
        <f>N7-N9</f>
        <v>56843.044026541655</v>
      </c>
      <c r="O10" s="52">
        <f>O7-O9</f>
        <v>682116.52831849991</v>
      </c>
      <c r="P10" s="52">
        <f>P7-P9</f>
        <v>54682.793326791645</v>
      </c>
      <c r="Q10" s="52">
        <f>Q7-Q9</f>
        <v>54682.793326791645</v>
      </c>
      <c r="R10" s="52">
        <f>R7-R9</f>
        <v>54682.793326791645</v>
      </c>
      <c r="S10" s="52">
        <f>S7-S9</f>
        <v>54682.793326791645</v>
      </c>
      <c r="T10" s="52">
        <f>T7-T9</f>
        <v>54682.793326791645</v>
      </c>
      <c r="U10" s="52">
        <f>U7-U9</f>
        <v>54682.793326791645</v>
      </c>
      <c r="V10" s="52">
        <f>V7-V9</f>
        <v>54682.793326791645</v>
      </c>
      <c r="W10" s="52">
        <f>W7-W9</f>
        <v>54682.793326791645</v>
      </c>
      <c r="X10" s="52">
        <f>X7-X9</f>
        <v>54682.793326791645</v>
      </c>
      <c r="Y10" s="52">
        <f>Y7-Y9</f>
        <v>54682.793326791645</v>
      </c>
      <c r="Z10" s="52">
        <f>Z7-Z9</f>
        <v>54682.793326791645</v>
      </c>
      <c r="AA10" s="52">
        <f>AA7-AA9</f>
        <v>54682.793326791645</v>
      </c>
      <c r="AB10" s="52">
        <f>AB7-AB9</f>
        <v>656193.51992149977</v>
      </c>
      <c r="AC10" s="52">
        <f>AC7-AC9</f>
        <v>57143.519026497277</v>
      </c>
      <c r="AD10" s="52">
        <f>AD7-AD9</f>
        <v>57143.519026497277</v>
      </c>
      <c r="AE10" s="52">
        <f>AE7-AE9</f>
        <v>57143.519026497277</v>
      </c>
      <c r="AF10" s="52">
        <f>AF7-AF9</f>
        <v>57143.519026497277</v>
      </c>
      <c r="AG10" s="52">
        <f>AG7-AG9</f>
        <v>57143.519026497277</v>
      </c>
      <c r="AH10" s="52">
        <f>AH7-AH9</f>
        <v>57143.519026497277</v>
      </c>
      <c r="AI10" s="52">
        <f>AI7-AI9</f>
        <v>57143.519026497277</v>
      </c>
      <c r="AJ10" s="52">
        <f>AJ7-AJ9</f>
        <v>57143.519026497277</v>
      </c>
      <c r="AK10" s="52">
        <f>AK7-AK9</f>
        <v>57143.519026497277</v>
      </c>
      <c r="AL10" s="52">
        <f>AL7-AL9</f>
        <v>57143.519026497277</v>
      </c>
      <c r="AM10" s="52">
        <f>AM7-AM9</f>
        <v>57143.519026497277</v>
      </c>
      <c r="AN10" s="52">
        <f>AN7-AN9</f>
        <v>57143.519026497277</v>
      </c>
      <c r="AO10" s="52">
        <f>AO7-AO9</f>
        <v>685722.22831796715</v>
      </c>
      <c r="AP10" s="52">
        <f>AP7-AP9</f>
        <v>59714.977382689634</v>
      </c>
      <c r="AQ10" s="52">
        <f>AQ7-AQ9</f>
        <v>59714.977382689634</v>
      </c>
      <c r="AR10" s="52">
        <f>AR7-AR9</f>
        <v>59714.977382689634</v>
      </c>
      <c r="AS10" s="52">
        <f>AS7-AS9</f>
        <v>59714.977382689634</v>
      </c>
      <c r="AT10" s="52">
        <f>AT7-AT9</f>
        <v>59714.977382689634</v>
      </c>
      <c r="AU10" s="52">
        <f>AU7-AU9</f>
        <v>59714.977382689634</v>
      </c>
      <c r="AV10" s="52">
        <f>AV7-AV9</f>
        <v>59714.977382689634</v>
      </c>
      <c r="AW10" s="52">
        <f>AW7-AW9</f>
        <v>59714.977382689634</v>
      </c>
      <c r="AX10" s="52">
        <f>AX7-AX9</f>
        <v>59714.977382689634</v>
      </c>
      <c r="AY10" s="52">
        <f>AY7-AY9</f>
        <v>59714.977382689634</v>
      </c>
      <c r="AZ10" s="52">
        <f>AZ7-AZ9</f>
        <v>59714.977382689634</v>
      </c>
      <c r="BA10" s="52">
        <f>BA7-BA9</f>
        <v>59714.977382689634</v>
      </c>
      <c r="BB10" s="52">
        <f>BB7-BB9</f>
        <v>716579.72859227564</v>
      </c>
      <c r="BC10" s="52">
        <f>BC7-BC9</f>
        <v>62402.151364910671</v>
      </c>
      <c r="BD10" s="52">
        <f>BD7-BD9</f>
        <v>62402.151364910671</v>
      </c>
      <c r="BE10" s="52">
        <f>BE7-BE9</f>
        <v>62402.151364910671</v>
      </c>
      <c r="BF10" s="52">
        <f>BF7-BF9</f>
        <v>62402.151364910671</v>
      </c>
      <c r="BG10" s="52">
        <f>BG7-BG9</f>
        <v>62402.151364910671</v>
      </c>
      <c r="BH10" s="52">
        <f>BH7-BH9</f>
        <v>62402.151364910671</v>
      </c>
      <c r="BI10" s="52">
        <f>BI7-BI9</f>
        <v>62402.151364910671</v>
      </c>
      <c r="BJ10" s="52">
        <f>BJ7-BJ9</f>
        <v>62402.151364910671</v>
      </c>
      <c r="BK10" s="52">
        <f>BK7-BK9</f>
        <v>62402.151364910671</v>
      </c>
      <c r="BL10" s="52">
        <f>BL7-BL9</f>
        <v>62402.151364910671</v>
      </c>
      <c r="BM10" s="52">
        <f>BM7-BM9</f>
        <v>62402.151364910671</v>
      </c>
      <c r="BN10" s="52">
        <f>BN7-BN9</f>
        <v>62402.151364910671</v>
      </c>
      <c r="BO10" s="52">
        <f>BO7-BO9</f>
        <v>748825.81637892802</v>
      </c>
    </row>
    <row r="11" ht="15" customHeight="1">
      <c r="A11" s="49" t="inlineStr">
        <is>
          <t>Gross Margin %</t>
        </is>
      </c>
      <c r="C11" s="54">
        <f>IFERROR(C10/C7,0)</f>
        <v>0.69243832088755752</v>
      </c>
      <c r="D11" s="54">
        <f>IFERROR(D10/D7,0)</f>
        <v>0.69243832088755752</v>
      </c>
      <c r="E11" s="54">
        <f>IFERROR(E10/E7,0)</f>
        <v>0.69243832088755752</v>
      </c>
      <c r="F11" s="54">
        <f>IFERROR(F10/F7,0)</f>
        <v>0.69243832088755752</v>
      </c>
      <c r="G11" s="54">
        <f>IFERROR(G10/G7,0)</f>
        <v>0.69243832088755752</v>
      </c>
      <c r="H11" s="54">
        <f>IFERROR(H10/H7,0)</f>
        <v>0.69243832088755752</v>
      </c>
      <c r="I11" s="54">
        <f>IFERROR(I10/I7,0)</f>
        <v>0.69243832088755752</v>
      </c>
      <c r="J11" s="54">
        <f>IFERROR(J10/J7,0)</f>
        <v>0.69243832088755752</v>
      </c>
      <c r="K11" s="54">
        <f>IFERROR(K10/K7,0)</f>
        <v>0.69243832088755752</v>
      </c>
      <c r="L11" s="54">
        <f>IFERROR(L10/L7,0)</f>
        <v>0.69243832088755752</v>
      </c>
      <c r="M11" s="54">
        <f>IFERROR(M10/M7,0)</f>
        <v>0.69243832088755752</v>
      </c>
      <c r="N11" s="54">
        <f>IFERROR(N10/N7,0)</f>
        <v>0.69243832088755752</v>
      </c>
      <c r="O11" s="54">
        <f>IFERROR(O10/O7,0)</f>
        <v>0.69243832088755763</v>
      </c>
      <c r="P11" s="54">
        <f>IFERROR(P10/P7,0)</f>
        <v>0.63743832088755759</v>
      </c>
      <c r="Q11" s="54">
        <f>IFERROR(Q10/Q7,0)</f>
        <v>0.63743832088755759</v>
      </c>
      <c r="R11" s="54">
        <f>IFERROR(R10/R7,0)</f>
        <v>0.63743832088755759</v>
      </c>
      <c r="S11" s="54">
        <f>IFERROR(S10/S7,0)</f>
        <v>0.63743832088755759</v>
      </c>
      <c r="T11" s="54">
        <f>IFERROR(T10/T7,0)</f>
        <v>0.63743832088755759</v>
      </c>
      <c r="U11" s="54">
        <f>IFERROR(U10/U7,0)</f>
        <v>0.63743832088755759</v>
      </c>
      <c r="V11" s="54">
        <f>IFERROR(V10/V7,0)</f>
        <v>0.63743832088755759</v>
      </c>
      <c r="W11" s="54">
        <f>IFERROR(W10/W7,0)</f>
        <v>0.63743832088755759</v>
      </c>
      <c r="X11" s="54">
        <f>IFERROR(X10/X7,0)</f>
        <v>0.63743832088755759</v>
      </c>
      <c r="Y11" s="54">
        <f>IFERROR(Y10/Y7,0)</f>
        <v>0.63743832088755759</v>
      </c>
      <c r="Z11" s="54">
        <f>IFERROR(Z10/Z7,0)</f>
        <v>0.63743832088755759</v>
      </c>
      <c r="AA11" s="54">
        <f>IFERROR(AA10/AA7,0)</f>
        <v>0.63743832088755759</v>
      </c>
      <c r="AB11" s="54">
        <f>IFERROR(AB10/AB7,0)</f>
        <v>0.63743832088755747</v>
      </c>
      <c r="AC11" s="54">
        <f>IFERROR(AC10/AC7,0)</f>
        <v>0.63743832088755759</v>
      </c>
      <c r="AD11" s="54">
        <f>IFERROR(AD10/AD7,0)</f>
        <v>0.63743832088755759</v>
      </c>
      <c r="AE11" s="54">
        <f>IFERROR(AE10/AE7,0)</f>
        <v>0.63743832088755759</v>
      </c>
      <c r="AF11" s="54">
        <f>IFERROR(AF10/AF7,0)</f>
        <v>0.63743832088755759</v>
      </c>
      <c r="AG11" s="54">
        <f>IFERROR(AG10/AG7,0)</f>
        <v>0.63743832088755759</v>
      </c>
      <c r="AH11" s="54">
        <f>IFERROR(AH10/AH7,0)</f>
        <v>0.63743832088755759</v>
      </c>
      <c r="AI11" s="54">
        <f>IFERROR(AI10/AI7,0)</f>
        <v>0.63743832088755759</v>
      </c>
      <c r="AJ11" s="54">
        <f>IFERROR(AJ10/AJ7,0)</f>
        <v>0.63743832088755759</v>
      </c>
      <c r="AK11" s="54">
        <f>IFERROR(AK10/AK7,0)</f>
        <v>0.63743832088755759</v>
      </c>
      <c r="AL11" s="54">
        <f>IFERROR(AL10/AL7,0)</f>
        <v>0.63743832088755759</v>
      </c>
      <c r="AM11" s="54">
        <f>IFERROR(AM10/AM7,0)</f>
        <v>0.63743832088755759</v>
      </c>
      <c r="AN11" s="54">
        <f>IFERROR(AN10/AN7,0)</f>
        <v>0.63743832088755759</v>
      </c>
      <c r="AO11" s="54">
        <f>IFERROR(AO10/AO7,0)</f>
        <v>0.63743832088755747</v>
      </c>
      <c r="AP11" s="54">
        <f>IFERROR(AP10/AP7,0)</f>
        <v>0.63743832088755747</v>
      </c>
      <c r="AQ11" s="54">
        <f>IFERROR(AQ10/AQ7,0)</f>
        <v>0.63743832088755747</v>
      </c>
      <c r="AR11" s="54">
        <f>IFERROR(AR10/AR7,0)</f>
        <v>0.63743832088755747</v>
      </c>
      <c r="AS11" s="54">
        <f>IFERROR(AS10/AS7,0)</f>
        <v>0.63743832088755747</v>
      </c>
      <c r="AT11" s="54">
        <f>IFERROR(AT10/AT7,0)</f>
        <v>0.63743832088755747</v>
      </c>
      <c r="AU11" s="54">
        <f>IFERROR(AU10/AU7,0)</f>
        <v>0.63743832088755747</v>
      </c>
      <c r="AV11" s="54">
        <f>IFERROR(AV10/AV7,0)</f>
        <v>0.63743832088755747</v>
      </c>
      <c r="AW11" s="54">
        <f>IFERROR(AW10/AW7,0)</f>
        <v>0.63743832088755747</v>
      </c>
      <c r="AX11" s="54">
        <f>IFERROR(AX10/AX7,0)</f>
        <v>0.63743832088755747</v>
      </c>
      <c r="AY11" s="54">
        <f>IFERROR(AY10/AY7,0)</f>
        <v>0.63743832088755747</v>
      </c>
      <c r="AZ11" s="54">
        <f>IFERROR(AZ10/AZ7,0)</f>
        <v>0.63743832088755747</v>
      </c>
      <c r="BA11" s="54">
        <f>IFERROR(BA10/BA7,0)</f>
        <v>0.63743832088755747</v>
      </c>
      <c r="BB11" s="54">
        <f>IFERROR(BB10/BB7,0)</f>
        <v>0.63743832088755747</v>
      </c>
      <c r="BC11" s="54">
        <f>IFERROR(BC10/BC7,0)</f>
        <v>0.63743832088755747</v>
      </c>
      <c r="BD11" s="54">
        <f>IFERROR(BD10/BD7,0)</f>
        <v>0.63743832088755747</v>
      </c>
      <c r="BE11" s="54">
        <f>IFERROR(BE10/BE7,0)</f>
        <v>0.63743832088755747</v>
      </c>
      <c r="BF11" s="54">
        <f>IFERROR(BF10/BF7,0)</f>
        <v>0.63743832088755747</v>
      </c>
      <c r="BG11" s="54">
        <f>IFERROR(BG10/BG7,0)</f>
        <v>0.63743832088755747</v>
      </c>
      <c r="BH11" s="54">
        <f>IFERROR(BH10/BH7,0)</f>
        <v>0.63743832088755747</v>
      </c>
      <c r="BI11" s="54">
        <f>IFERROR(BI10/BI7,0)</f>
        <v>0.63743832088755747</v>
      </c>
      <c r="BJ11" s="54">
        <f>IFERROR(BJ10/BJ7,0)</f>
        <v>0.63743832088755747</v>
      </c>
      <c r="BK11" s="54">
        <f>IFERROR(BK10/BK7,0)</f>
        <v>0.63743832088755747</v>
      </c>
      <c r="BL11" s="54">
        <f>IFERROR(BL10/BL7,0)</f>
        <v>0.63743832088755747</v>
      </c>
      <c r="BM11" s="54">
        <f>IFERROR(BM10/BM7,0)</f>
        <v>0.63743832088755747</v>
      </c>
      <c r="BN11" s="54">
        <f>IFERROR(BN10/BN7,0)</f>
        <v>0.63743832088755747</v>
      </c>
      <c r="BO11" s="54">
        <f>IFERROR(BO10/BO7,0)</f>
        <v>0.63743832088755747</v>
      </c>
    </row>
    <row r="12"/>
    <row r="13" ht="15" customHeight="1">
      <c r="A13" s="44" t="inlineStr">
        <is>
          <t>Operating Expenses</t>
        </is>
      </c>
    </row>
    <row r="14" ht="15" customHeight="1">
      <c r="A14" s="49" t="inlineStr">
        <is>
          <t>Marketing</t>
        </is>
      </c>
      <c r="C14" s="50">
        <f>$O14/12</f>
        <v>4667.5282500000003</v>
      </c>
      <c r="D14" s="50">
        <f>$O14/12</f>
        <v>4667.5282500000003</v>
      </c>
      <c r="E14" s="50">
        <f>$O14/12</f>
        <v>4667.5282500000003</v>
      </c>
      <c r="F14" s="50">
        <f>$O14/12</f>
        <v>4667.5282500000003</v>
      </c>
      <c r="G14" s="50">
        <f>$O14/12</f>
        <v>4667.5282500000003</v>
      </c>
      <c r="H14" s="50">
        <f>$O14/12</f>
        <v>4667.5282500000003</v>
      </c>
      <c r="I14" s="50">
        <f>$O14/12</f>
        <v>4667.5282500000003</v>
      </c>
      <c r="J14" s="50">
        <f>$O14/12</f>
        <v>4667.5282500000003</v>
      </c>
      <c r="K14" s="50">
        <f>$O14/12</f>
        <v>4667.5282500000003</v>
      </c>
      <c r="L14" s="50">
        <f>$O14/12</f>
        <v>4667.5282500000003</v>
      </c>
      <c r="M14" s="50">
        <f>$O14/12</f>
        <v>4667.5282500000003</v>
      </c>
      <c r="N14" s="50">
        <f>$O14/12</f>
        <v>4667.5282500000003</v>
      </c>
      <c r="O14" s="50">
        <f>Assumptions!E64*(1+Assumptions!E66)</f>
        <v>56010.339000000007</v>
      </c>
      <c r="P14" s="50">
        <f>$AB14/12</f>
        <v>5134.2810750000008</v>
      </c>
      <c r="Q14" s="50">
        <f>$AB14/12</f>
        <v>5134.2810750000008</v>
      </c>
      <c r="R14" s="50">
        <f>$AB14/12</f>
        <v>5134.2810750000008</v>
      </c>
      <c r="S14" s="50">
        <f>$AB14/12</f>
        <v>5134.2810750000008</v>
      </c>
      <c r="T14" s="50">
        <f>$AB14/12</f>
        <v>5134.2810750000008</v>
      </c>
      <c r="U14" s="50">
        <f>$AB14/12</f>
        <v>5134.2810750000008</v>
      </c>
      <c r="V14" s="50">
        <f>$AB14/12</f>
        <v>5134.2810750000008</v>
      </c>
      <c r="W14" s="50">
        <f>$AB14/12</f>
        <v>5134.2810750000008</v>
      </c>
      <c r="X14" s="50">
        <f>$AB14/12</f>
        <v>5134.2810750000008</v>
      </c>
      <c r="Y14" s="50">
        <f>$AB14/12</f>
        <v>5134.2810750000008</v>
      </c>
      <c r="Z14" s="50">
        <f>$AB14/12</f>
        <v>5134.2810750000008</v>
      </c>
      <c r="AA14" s="50">
        <f>$AB14/12</f>
        <v>5134.2810750000008</v>
      </c>
      <c r="AB14" s="50">
        <f>O14*(1+Assumptions!E66)</f>
        <v>61611.372900000009</v>
      </c>
      <c r="AC14" s="50">
        <f>$AO14/12</f>
        <v>5647.7091825000016</v>
      </c>
      <c r="AD14" s="50">
        <f>$AO14/12</f>
        <v>5647.7091825000016</v>
      </c>
      <c r="AE14" s="50">
        <f>$AO14/12</f>
        <v>5647.7091825000016</v>
      </c>
      <c r="AF14" s="50">
        <f>$AO14/12</f>
        <v>5647.7091825000016</v>
      </c>
      <c r="AG14" s="50">
        <f>$AO14/12</f>
        <v>5647.7091825000016</v>
      </c>
      <c r="AH14" s="50">
        <f>$AO14/12</f>
        <v>5647.7091825000016</v>
      </c>
      <c r="AI14" s="50">
        <f>$AO14/12</f>
        <v>5647.7091825000016</v>
      </c>
      <c r="AJ14" s="50">
        <f>$AO14/12</f>
        <v>5647.7091825000016</v>
      </c>
      <c r="AK14" s="50">
        <f>$AO14/12</f>
        <v>5647.7091825000016</v>
      </c>
      <c r="AL14" s="50">
        <f>$AO14/12</f>
        <v>5647.7091825000016</v>
      </c>
      <c r="AM14" s="50">
        <f>$AO14/12</f>
        <v>5647.7091825000016</v>
      </c>
      <c r="AN14" s="50">
        <f>$AO14/12</f>
        <v>5647.7091825000016</v>
      </c>
      <c r="AO14" s="50">
        <f>AB14*(1+Assumptions!E66)</f>
        <v>67772.510190000015</v>
      </c>
      <c r="AP14" s="50">
        <f>$BB14/12</f>
        <v>6212.4801007500018</v>
      </c>
      <c r="AQ14" s="50">
        <f>$BB14/12</f>
        <v>6212.4801007500018</v>
      </c>
      <c r="AR14" s="50">
        <f>$BB14/12</f>
        <v>6212.4801007500018</v>
      </c>
      <c r="AS14" s="50">
        <f>$BB14/12</f>
        <v>6212.4801007500018</v>
      </c>
      <c r="AT14" s="50">
        <f>$BB14/12</f>
        <v>6212.4801007500018</v>
      </c>
      <c r="AU14" s="50">
        <f>$BB14/12</f>
        <v>6212.4801007500018</v>
      </c>
      <c r="AV14" s="50">
        <f>$BB14/12</f>
        <v>6212.4801007500018</v>
      </c>
      <c r="AW14" s="50">
        <f>$BB14/12</f>
        <v>6212.4801007500018</v>
      </c>
      <c r="AX14" s="50">
        <f>$BB14/12</f>
        <v>6212.4801007500018</v>
      </c>
      <c r="AY14" s="50">
        <f>$BB14/12</f>
        <v>6212.4801007500018</v>
      </c>
      <c r="AZ14" s="50">
        <f>$BB14/12</f>
        <v>6212.4801007500018</v>
      </c>
      <c r="BA14" s="50">
        <f>$BB14/12</f>
        <v>6212.4801007500018</v>
      </c>
      <c r="BB14" s="50">
        <f>AO14*(1+Assumptions!E66)</f>
        <v>74549.761209000018</v>
      </c>
      <c r="BC14" s="50">
        <f>$BO14/12</f>
        <v>6833.7281108250027</v>
      </c>
      <c r="BD14" s="50">
        <f>$BO14/12</f>
        <v>6833.7281108250027</v>
      </c>
      <c r="BE14" s="50">
        <f>$BO14/12</f>
        <v>6833.7281108250027</v>
      </c>
      <c r="BF14" s="50">
        <f>$BO14/12</f>
        <v>6833.7281108250027</v>
      </c>
      <c r="BG14" s="50">
        <f>$BO14/12</f>
        <v>6833.7281108250027</v>
      </c>
      <c r="BH14" s="50">
        <f>$BO14/12</f>
        <v>6833.7281108250027</v>
      </c>
      <c r="BI14" s="50">
        <f>$BO14/12</f>
        <v>6833.7281108250027</v>
      </c>
      <c r="BJ14" s="50">
        <f>$BO14/12</f>
        <v>6833.7281108250027</v>
      </c>
      <c r="BK14" s="50">
        <f>$BO14/12</f>
        <v>6833.7281108250027</v>
      </c>
      <c r="BL14" s="50">
        <f>$BO14/12</f>
        <v>6833.7281108250027</v>
      </c>
      <c r="BM14" s="50">
        <f>$BO14/12</f>
        <v>6833.7281108250027</v>
      </c>
      <c r="BN14" s="50">
        <f>$BO14/12</f>
        <v>6833.7281108250027</v>
      </c>
      <c r="BO14" s="50">
        <f>BB14*(1+Assumptions!E66)</f>
        <v>82004.737329900032</v>
      </c>
    </row>
    <row r="15" ht="15" customHeight="1">
      <c r="A15" s="49" t="inlineStr">
        <is>
          <t>Indirect Labor — Existing Team</t>
        </is>
      </c>
      <c r="C15" s="50">
        <f>$O15/12</f>
        <v>20742.899024999995</v>
      </c>
      <c r="D15" s="50">
        <f>$O15/12</f>
        <v>20742.899024999995</v>
      </c>
      <c r="E15" s="50">
        <f>$O15/12</f>
        <v>20742.899024999995</v>
      </c>
      <c r="F15" s="50">
        <f>$O15/12</f>
        <v>20742.899024999995</v>
      </c>
      <c r="G15" s="50">
        <f>$O15/12</f>
        <v>20742.899024999995</v>
      </c>
      <c r="H15" s="50">
        <f>$O15/12</f>
        <v>20742.899024999995</v>
      </c>
      <c r="I15" s="50">
        <f>$O15/12</f>
        <v>20742.899024999995</v>
      </c>
      <c r="J15" s="50">
        <f>$O15/12</f>
        <v>20742.899024999995</v>
      </c>
      <c r="K15" s="50">
        <f>$O15/12</f>
        <v>20742.899024999995</v>
      </c>
      <c r="L15" s="50">
        <f>$O15/12</f>
        <v>20742.899024999995</v>
      </c>
      <c r="M15" s="50">
        <f>$O15/12</f>
        <v>20742.899024999995</v>
      </c>
      <c r="N15" s="50">
        <f>$O15/12</f>
        <v>20742.899024999995</v>
      </c>
      <c r="O15" s="50">
        <f>Assumptions!E72*(1+Assumptions!E73)</f>
        <v>248914.78829999993</v>
      </c>
      <c r="P15" s="50">
        <f>$AB15/12</f>
        <v>21468.900490874992</v>
      </c>
      <c r="Q15" s="50">
        <f>$AB15/12</f>
        <v>21468.900490874992</v>
      </c>
      <c r="R15" s="50">
        <f>$AB15/12</f>
        <v>21468.900490874992</v>
      </c>
      <c r="S15" s="50">
        <f>$AB15/12</f>
        <v>21468.900490874992</v>
      </c>
      <c r="T15" s="50">
        <f>$AB15/12</f>
        <v>21468.900490874992</v>
      </c>
      <c r="U15" s="50">
        <f>$AB15/12</f>
        <v>21468.900490874992</v>
      </c>
      <c r="V15" s="50">
        <f>$AB15/12</f>
        <v>21468.900490874992</v>
      </c>
      <c r="W15" s="50">
        <f>$AB15/12</f>
        <v>21468.900490874992</v>
      </c>
      <c r="X15" s="50">
        <f>$AB15/12</f>
        <v>21468.900490874992</v>
      </c>
      <c r="Y15" s="50">
        <f>$AB15/12</f>
        <v>21468.900490874992</v>
      </c>
      <c r="Z15" s="50">
        <f>$AB15/12</f>
        <v>21468.900490874992</v>
      </c>
      <c r="AA15" s="50">
        <f>$AB15/12</f>
        <v>21468.900490874992</v>
      </c>
      <c r="AB15" s="50">
        <f>O15*(1+Assumptions!E73)</f>
        <v>257626.80589049991</v>
      </c>
      <c r="AC15" s="50">
        <f>$AO15/12</f>
        <v>22220.312008055615</v>
      </c>
      <c r="AD15" s="50">
        <f>$AO15/12</f>
        <v>22220.312008055615</v>
      </c>
      <c r="AE15" s="50">
        <f>$AO15/12</f>
        <v>22220.312008055615</v>
      </c>
      <c r="AF15" s="50">
        <f>$AO15/12</f>
        <v>22220.312008055615</v>
      </c>
      <c r="AG15" s="50">
        <f>$AO15/12</f>
        <v>22220.312008055615</v>
      </c>
      <c r="AH15" s="50">
        <f>$AO15/12</f>
        <v>22220.312008055615</v>
      </c>
      <c r="AI15" s="50">
        <f>$AO15/12</f>
        <v>22220.312008055615</v>
      </c>
      <c r="AJ15" s="50">
        <f>$AO15/12</f>
        <v>22220.312008055615</v>
      </c>
      <c r="AK15" s="50">
        <f>$AO15/12</f>
        <v>22220.312008055615</v>
      </c>
      <c r="AL15" s="50">
        <f>$AO15/12</f>
        <v>22220.312008055615</v>
      </c>
      <c r="AM15" s="50">
        <f>$AO15/12</f>
        <v>22220.312008055615</v>
      </c>
      <c r="AN15" s="50">
        <f>$AO15/12</f>
        <v>22220.312008055615</v>
      </c>
      <c r="AO15" s="50">
        <f>AB15*(1+Assumptions!E73)</f>
        <v>266643.74409666739</v>
      </c>
      <c r="AP15" s="50">
        <f>$BB15/12</f>
        <v>22998.022928337563</v>
      </c>
      <c r="AQ15" s="50">
        <f>$BB15/12</f>
        <v>22998.022928337563</v>
      </c>
      <c r="AR15" s="50">
        <f>$BB15/12</f>
        <v>22998.022928337563</v>
      </c>
      <c r="AS15" s="50">
        <f>$BB15/12</f>
        <v>22998.022928337563</v>
      </c>
      <c r="AT15" s="50">
        <f>$BB15/12</f>
        <v>22998.022928337563</v>
      </c>
      <c r="AU15" s="50">
        <f>$BB15/12</f>
        <v>22998.022928337563</v>
      </c>
      <c r="AV15" s="50">
        <f>$BB15/12</f>
        <v>22998.022928337563</v>
      </c>
      <c r="AW15" s="50">
        <f>$BB15/12</f>
        <v>22998.022928337563</v>
      </c>
      <c r="AX15" s="50">
        <f>$BB15/12</f>
        <v>22998.022928337563</v>
      </c>
      <c r="AY15" s="50">
        <f>$BB15/12</f>
        <v>22998.022928337563</v>
      </c>
      <c r="AZ15" s="50">
        <f>$BB15/12</f>
        <v>22998.022928337563</v>
      </c>
      <c r="BA15" s="50">
        <f>$BB15/12</f>
        <v>22998.022928337563</v>
      </c>
      <c r="BB15" s="50">
        <f>AO15*(1+Assumptions!E73)</f>
        <v>275976.27514005074</v>
      </c>
      <c r="BC15" s="50">
        <f>$BO15/12</f>
        <v>23802.953730829377</v>
      </c>
      <c r="BD15" s="50">
        <f>$BO15/12</f>
        <v>23802.953730829377</v>
      </c>
      <c r="BE15" s="50">
        <f>$BO15/12</f>
        <v>23802.953730829377</v>
      </c>
      <c r="BF15" s="50">
        <f>$BO15/12</f>
        <v>23802.953730829377</v>
      </c>
      <c r="BG15" s="50">
        <f>$BO15/12</f>
        <v>23802.953730829377</v>
      </c>
      <c r="BH15" s="50">
        <f>$BO15/12</f>
        <v>23802.953730829377</v>
      </c>
      <c r="BI15" s="50">
        <f>$BO15/12</f>
        <v>23802.953730829377</v>
      </c>
      <c r="BJ15" s="50">
        <f>$BO15/12</f>
        <v>23802.953730829377</v>
      </c>
      <c r="BK15" s="50">
        <f>$BO15/12</f>
        <v>23802.953730829377</v>
      </c>
      <c r="BL15" s="50">
        <f>$BO15/12</f>
        <v>23802.953730829377</v>
      </c>
      <c r="BM15" s="50">
        <f>$BO15/12</f>
        <v>23802.953730829377</v>
      </c>
      <c r="BN15" s="50">
        <f>$BO15/12</f>
        <v>23802.953730829377</v>
      </c>
      <c r="BO15" s="50">
        <f>BB15*(1+Assumptions!E73)</f>
        <v>285635.4447699525</v>
      </c>
    </row>
    <row r="16" ht="15" customHeight="1">
      <c r="A16" s="49" t="inlineStr">
        <is>
          <t>Owner Compensation (New)</t>
        </is>
      </c>
      <c r="C16" s="50">
        <f>$O16/12</f>
        <v>6000</v>
      </c>
      <c r="D16" s="50">
        <f>$O16/12</f>
        <v>6000</v>
      </c>
      <c r="E16" s="50">
        <f>$O16/12</f>
        <v>6000</v>
      </c>
      <c r="F16" s="50">
        <f>$O16/12</f>
        <v>6000</v>
      </c>
      <c r="G16" s="50">
        <f>$O16/12</f>
        <v>6000</v>
      </c>
      <c r="H16" s="50">
        <f>$O16/12</f>
        <v>6000</v>
      </c>
      <c r="I16" s="50">
        <f>$O16/12</f>
        <v>6000</v>
      </c>
      <c r="J16" s="50">
        <f>$O16/12</f>
        <v>6000</v>
      </c>
      <c r="K16" s="50">
        <f>$O16/12</f>
        <v>6000</v>
      </c>
      <c r="L16" s="50">
        <f>$O16/12</f>
        <v>6000</v>
      </c>
      <c r="M16" s="50">
        <f>$O16/12</f>
        <v>6000</v>
      </c>
      <c r="N16" s="50">
        <f>$O16/12</f>
        <v>6000</v>
      </c>
      <c r="O16" s="50">
        <f>Assumptions!E74</f>
        <v>72000</v>
      </c>
      <c r="P16" s="50">
        <f>$AB16/12</f>
        <v>6210</v>
      </c>
      <c r="Q16" s="50">
        <f>$AB16/12</f>
        <v>6210</v>
      </c>
      <c r="R16" s="50">
        <f>$AB16/12</f>
        <v>6210</v>
      </c>
      <c r="S16" s="50">
        <f>$AB16/12</f>
        <v>6210</v>
      </c>
      <c r="T16" s="50">
        <f>$AB16/12</f>
        <v>6210</v>
      </c>
      <c r="U16" s="50">
        <f>$AB16/12</f>
        <v>6210</v>
      </c>
      <c r="V16" s="50">
        <f>$AB16/12</f>
        <v>6210</v>
      </c>
      <c r="W16" s="50">
        <f>$AB16/12</f>
        <v>6210</v>
      </c>
      <c r="X16" s="50">
        <f>$AB16/12</f>
        <v>6210</v>
      </c>
      <c r="Y16" s="50">
        <f>$AB16/12</f>
        <v>6210</v>
      </c>
      <c r="Z16" s="50">
        <f>$AB16/12</f>
        <v>6210</v>
      </c>
      <c r="AA16" s="50">
        <f>$AB16/12</f>
        <v>6210</v>
      </c>
      <c r="AB16" s="50">
        <f>O16*(1+Assumptions!E73)</f>
        <v>74520</v>
      </c>
      <c r="AC16" s="50">
        <f>$AO16/12</f>
        <v>6427.3499999999995</v>
      </c>
      <c r="AD16" s="50">
        <f>$AO16/12</f>
        <v>6427.3499999999995</v>
      </c>
      <c r="AE16" s="50">
        <f>$AO16/12</f>
        <v>6427.3499999999995</v>
      </c>
      <c r="AF16" s="50">
        <f>$AO16/12</f>
        <v>6427.3499999999995</v>
      </c>
      <c r="AG16" s="50">
        <f>$AO16/12</f>
        <v>6427.3499999999995</v>
      </c>
      <c r="AH16" s="50">
        <f>$AO16/12</f>
        <v>6427.3499999999995</v>
      </c>
      <c r="AI16" s="50">
        <f>$AO16/12</f>
        <v>6427.3499999999995</v>
      </c>
      <c r="AJ16" s="50">
        <f>$AO16/12</f>
        <v>6427.3499999999995</v>
      </c>
      <c r="AK16" s="50">
        <f>$AO16/12</f>
        <v>6427.3499999999995</v>
      </c>
      <c r="AL16" s="50">
        <f>$AO16/12</f>
        <v>6427.3499999999995</v>
      </c>
      <c r="AM16" s="50">
        <f>$AO16/12</f>
        <v>6427.3499999999995</v>
      </c>
      <c r="AN16" s="50">
        <f>$AO16/12</f>
        <v>6427.3499999999995</v>
      </c>
      <c r="AO16" s="50">
        <f>AB16*(1+Assumptions!E73)</f>
        <v>77128.199999999997</v>
      </c>
      <c r="AP16" s="50">
        <f>$BB16/12</f>
        <v>6652.3072499999989</v>
      </c>
      <c r="AQ16" s="50">
        <f>$BB16/12</f>
        <v>6652.3072499999989</v>
      </c>
      <c r="AR16" s="50">
        <f>$BB16/12</f>
        <v>6652.3072499999989</v>
      </c>
      <c r="AS16" s="50">
        <f>$BB16/12</f>
        <v>6652.3072499999989</v>
      </c>
      <c r="AT16" s="50">
        <f>$BB16/12</f>
        <v>6652.3072499999989</v>
      </c>
      <c r="AU16" s="50">
        <f>$BB16/12</f>
        <v>6652.3072499999989</v>
      </c>
      <c r="AV16" s="50">
        <f>$BB16/12</f>
        <v>6652.3072499999989</v>
      </c>
      <c r="AW16" s="50">
        <f>$BB16/12</f>
        <v>6652.3072499999989</v>
      </c>
      <c r="AX16" s="50">
        <f>$BB16/12</f>
        <v>6652.3072499999989</v>
      </c>
      <c r="AY16" s="50">
        <f>$BB16/12</f>
        <v>6652.3072499999989</v>
      </c>
      <c r="AZ16" s="50">
        <f>$BB16/12</f>
        <v>6652.3072499999989</v>
      </c>
      <c r="BA16" s="50">
        <f>$BB16/12</f>
        <v>6652.3072499999989</v>
      </c>
      <c r="BB16" s="50">
        <f>AO16*(1+Assumptions!E73)</f>
        <v>79827.686999999991</v>
      </c>
      <c r="BC16" s="50">
        <f>$BO16/12</f>
        <v>6885.1380037499985</v>
      </c>
      <c r="BD16" s="50">
        <f>$BO16/12</f>
        <v>6885.1380037499985</v>
      </c>
      <c r="BE16" s="50">
        <f>$BO16/12</f>
        <v>6885.1380037499985</v>
      </c>
      <c r="BF16" s="50">
        <f>$BO16/12</f>
        <v>6885.1380037499985</v>
      </c>
      <c r="BG16" s="50">
        <f>$BO16/12</f>
        <v>6885.1380037499985</v>
      </c>
      <c r="BH16" s="50">
        <f>$BO16/12</f>
        <v>6885.1380037499985</v>
      </c>
      <c r="BI16" s="50">
        <f>$BO16/12</f>
        <v>6885.1380037499985</v>
      </c>
      <c r="BJ16" s="50">
        <f>$BO16/12</f>
        <v>6885.1380037499985</v>
      </c>
      <c r="BK16" s="50">
        <f>$BO16/12</f>
        <v>6885.1380037499985</v>
      </c>
      <c r="BL16" s="50">
        <f>$BO16/12</f>
        <v>6885.1380037499985</v>
      </c>
      <c r="BM16" s="50">
        <f>$BO16/12</f>
        <v>6885.1380037499985</v>
      </c>
      <c r="BN16" s="50">
        <f>$BO16/12</f>
        <v>6885.1380037499985</v>
      </c>
      <c r="BO16" s="50">
        <f>BB16*(1+Assumptions!E73)</f>
        <v>82621.656044999982</v>
      </c>
    </row>
    <row r="17" ht="15" customHeight="1">
      <c r="A17" s="49" t="inlineStr">
        <is>
          <t>Additional Contractor/Employee Added at Close</t>
        </is>
      </c>
      <c r="C17" s="50">
        <f>$O17/12</f>
        <v>0</v>
      </c>
      <c r="D17" s="50">
        <f>$O17/12</f>
        <v>0</v>
      </c>
      <c r="E17" s="50">
        <f>$O17/12</f>
        <v>0</v>
      </c>
      <c r="F17" s="50">
        <f>$O17/12</f>
        <v>0</v>
      </c>
      <c r="G17" s="50">
        <f>$O17/12</f>
        <v>0</v>
      </c>
      <c r="H17" s="50">
        <f>$O17/12</f>
        <v>0</v>
      </c>
      <c r="I17" s="50">
        <f>$O17/12</f>
        <v>0</v>
      </c>
      <c r="J17" s="50">
        <f>$O17/12</f>
        <v>0</v>
      </c>
      <c r="K17" s="50">
        <f>$O17/12</f>
        <v>0</v>
      </c>
      <c r="L17" s="50">
        <f>$O17/12</f>
        <v>0</v>
      </c>
      <c r="M17" s="50">
        <f>$O17/12</f>
        <v>0</v>
      </c>
      <c r="N17" s="50">
        <f>$O17/12</f>
        <v>0</v>
      </c>
      <c r="O17" s="50">
        <f>Assumptions!E75</f>
        <v>0</v>
      </c>
      <c r="P17" s="50">
        <f>$AB17/12</f>
        <v>0</v>
      </c>
      <c r="Q17" s="50">
        <f>$AB17/12</f>
        <v>0</v>
      </c>
      <c r="R17" s="50">
        <f>$AB17/12</f>
        <v>0</v>
      </c>
      <c r="S17" s="50">
        <f>$AB17/12</f>
        <v>0</v>
      </c>
      <c r="T17" s="50">
        <f>$AB17/12</f>
        <v>0</v>
      </c>
      <c r="U17" s="50">
        <f>$AB17/12</f>
        <v>0</v>
      </c>
      <c r="V17" s="50">
        <f>$AB17/12</f>
        <v>0</v>
      </c>
      <c r="W17" s="50">
        <f>$AB17/12</f>
        <v>0</v>
      </c>
      <c r="X17" s="50">
        <f>$AB17/12</f>
        <v>0</v>
      </c>
      <c r="Y17" s="50">
        <f>$AB17/12</f>
        <v>0</v>
      </c>
      <c r="Z17" s="50">
        <f>$AB17/12</f>
        <v>0</v>
      </c>
      <c r="AA17" s="50">
        <f>$AB17/12</f>
        <v>0</v>
      </c>
      <c r="AB17" s="50">
        <f>O17*(1+Assumptions!E73)</f>
        <v>0</v>
      </c>
      <c r="AC17" s="50">
        <f>$AO17/12</f>
        <v>0</v>
      </c>
      <c r="AD17" s="50">
        <f>$AO17/12</f>
        <v>0</v>
      </c>
      <c r="AE17" s="50">
        <f>$AO17/12</f>
        <v>0</v>
      </c>
      <c r="AF17" s="50">
        <f>$AO17/12</f>
        <v>0</v>
      </c>
      <c r="AG17" s="50">
        <f>$AO17/12</f>
        <v>0</v>
      </c>
      <c r="AH17" s="50">
        <f>$AO17/12</f>
        <v>0</v>
      </c>
      <c r="AI17" s="50">
        <f>$AO17/12</f>
        <v>0</v>
      </c>
      <c r="AJ17" s="50">
        <f>$AO17/12</f>
        <v>0</v>
      </c>
      <c r="AK17" s="50">
        <f>$AO17/12</f>
        <v>0</v>
      </c>
      <c r="AL17" s="50">
        <f>$AO17/12</f>
        <v>0</v>
      </c>
      <c r="AM17" s="50">
        <f>$AO17/12</f>
        <v>0</v>
      </c>
      <c r="AN17" s="50">
        <f>$AO17/12</f>
        <v>0</v>
      </c>
      <c r="AO17" s="50">
        <f>AB17*(1+Assumptions!E73)</f>
        <v>0</v>
      </c>
      <c r="AP17" s="50">
        <f>$BB17/12</f>
        <v>0</v>
      </c>
      <c r="AQ17" s="50">
        <f>$BB17/12</f>
        <v>0</v>
      </c>
      <c r="AR17" s="50">
        <f>$BB17/12</f>
        <v>0</v>
      </c>
      <c r="AS17" s="50">
        <f>$BB17/12</f>
        <v>0</v>
      </c>
      <c r="AT17" s="50">
        <f>$BB17/12</f>
        <v>0</v>
      </c>
      <c r="AU17" s="50">
        <f>$BB17/12</f>
        <v>0</v>
      </c>
      <c r="AV17" s="50">
        <f>$BB17/12</f>
        <v>0</v>
      </c>
      <c r="AW17" s="50">
        <f>$BB17/12</f>
        <v>0</v>
      </c>
      <c r="AX17" s="50">
        <f>$BB17/12</f>
        <v>0</v>
      </c>
      <c r="AY17" s="50">
        <f>$BB17/12</f>
        <v>0</v>
      </c>
      <c r="AZ17" s="50">
        <f>$BB17/12</f>
        <v>0</v>
      </c>
      <c r="BA17" s="50">
        <f>$BB17/12</f>
        <v>0</v>
      </c>
      <c r="BB17" s="50">
        <f>AO17*(1+Assumptions!E73)</f>
        <v>0</v>
      </c>
      <c r="BC17" s="50">
        <f>$BO17/12</f>
        <v>0</v>
      </c>
      <c r="BD17" s="50">
        <f>$BO17/12</f>
        <v>0</v>
      </c>
      <c r="BE17" s="50">
        <f>$BO17/12</f>
        <v>0</v>
      </c>
      <c r="BF17" s="50">
        <f>$BO17/12</f>
        <v>0</v>
      </c>
      <c r="BG17" s="50">
        <f>$BO17/12</f>
        <v>0</v>
      </c>
      <c r="BH17" s="50">
        <f>$BO17/12</f>
        <v>0</v>
      </c>
      <c r="BI17" s="50">
        <f>$BO17/12</f>
        <v>0</v>
      </c>
      <c r="BJ17" s="50">
        <f>$BO17/12</f>
        <v>0</v>
      </c>
      <c r="BK17" s="50">
        <f>$BO17/12</f>
        <v>0</v>
      </c>
      <c r="BL17" s="50">
        <f>$BO17/12</f>
        <v>0</v>
      </c>
      <c r="BM17" s="50">
        <f>$BO17/12</f>
        <v>0</v>
      </c>
      <c r="BN17" s="50">
        <f>$BO17/12</f>
        <v>0</v>
      </c>
      <c r="BO17" s="50">
        <f>BB17*(1+Assumptions!E73)</f>
        <v>0</v>
      </c>
    </row>
    <row r="18" ht="15" customHeight="1">
      <c r="A18" s="49" t="inlineStr">
        <is>
          <t>Payroll Tax on New Positions</t>
        </is>
      </c>
      <c r="C18" s="50">
        <f>(C16+C17)*Assumptions!E76</f>
        <v>504.00000000000006</v>
      </c>
      <c r="D18" s="50">
        <f>(D16+D17)*Assumptions!E76</f>
        <v>504.00000000000006</v>
      </c>
      <c r="E18" s="50">
        <f>(E16+E17)*Assumptions!E76</f>
        <v>504.00000000000006</v>
      </c>
      <c r="F18" s="50">
        <f>(F16+F17)*Assumptions!E76</f>
        <v>504.00000000000006</v>
      </c>
      <c r="G18" s="50">
        <f>(G16+G17)*Assumptions!E76</f>
        <v>504.00000000000006</v>
      </c>
      <c r="H18" s="50">
        <f>(H16+H17)*Assumptions!E76</f>
        <v>504.00000000000006</v>
      </c>
      <c r="I18" s="50">
        <f>(I16+I17)*Assumptions!E76</f>
        <v>504.00000000000006</v>
      </c>
      <c r="J18" s="50">
        <f>(J16+J17)*Assumptions!E76</f>
        <v>504.00000000000006</v>
      </c>
      <c r="K18" s="50">
        <f>(K16+K17)*Assumptions!E76</f>
        <v>504.00000000000006</v>
      </c>
      <c r="L18" s="50">
        <f>(L16+L17)*Assumptions!E76</f>
        <v>504.00000000000006</v>
      </c>
      <c r="M18" s="50">
        <f>(M16+M17)*Assumptions!E76</f>
        <v>504.00000000000006</v>
      </c>
      <c r="N18" s="50">
        <f>(N16+N17)*Assumptions!E76</f>
        <v>504.00000000000006</v>
      </c>
      <c r="O18" s="50">
        <f>(O16+O17)*Assumptions!E76</f>
        <v>6048</v>
      </c>
      <c r="P18" s="50">
        <f>(P16+P17)*Assumptions!E76</f>
        <v>521.63999999999999</v>
      </c>
      <c r="Q18" s="50">
        <f>(Q16+Q17)*Assumptions!E76</f>
        <v>521.63999999999999</v>
      </c>
      <c r="R18" s="50">
        <f>(R16+R17)*Assumptions!E76</f>
        <v>521.63999999999999</v>
      </c>
      <c r="S18" s="50">
        <f>(S16+S17)*Assumptions!E76</f>
        <v>521.63999999999999</v>
      </c>
      <c r="T18" s="50">
        <f>(T16+T17)*Assumptions!E76</f>
        <v>521.63999999999999</v>
      </c>
      <c r="U18" s="50">
        <f>(U16+U17)*Assumptions!E76</f>
        <v>521.63999999999999</v>
      </c>
      <c r="V18" s="50">
        <f>(V16+V17)*Assumptions!E76</f>
        <v>521.63999999999999</v>
      </c>
      <c r="W18" s="50">
        <f>(W16+W17)*Assumptions!E76</f>
        <v>521.63999999999999</v>
      </c>
      <c r="X18" s="50">
        <f>(X16+X17)*Assumptions!E76</f>
        <v>521.63999999999999</v>
      </c>
      <c r="Y18" s="50">
        <f>(Y16+Y17)*Assumptions!E76</f>
        <v>521.63999999999999</v>
      </c>
      <c r="Z18" s="50">
        <f>(Z16+Z17)*Assumptions!E76</f>
        <v>521.63999999999999</v>
      </c>
      <c r="AA18" s="50">
        <f>(AA16+AA17)*Assumptions!E76</f>
        <v>521.63999999999999</v>
      </c>
      <c r="AB18" s="50">
        <f>(AB16+AB17)*Assumptions!E76</f>
        <v>6259.6800000000003</v>
      </c>
      <c r="AC18" s="50">
        <f>(AC16+AC17)*Assumptions!E76</f>
        <v>539.89739999999995</v>
      </c>
      <c r="AD18" s="50">
        <f>(AD16+AD17)*Assumptions!E76</f>
        <v>539.89739999999995</v>
      </c>
      <c r="AE18" s="50">
        <f>(AE16+AE17)*Assumptions!E76</f>
        <v>539.89739999999995</v>
      </c>
      <c r="AF18" s="50">
        <f>(AF16+AF17)*Assumptions!E76</f>
        <v>539.89739999999995</v>
      </c>
      <c r="AG18" s="50">
        <f>(AG16+AG17)*Assumptions!E76</f>
        <v>539.89739999999995</v>
      </c>
      <c r="AH18" s="50">
        <f>(AH16+AH17)*Assumptions!E76</f>
        <v>539.89739999999995</v>
      </c>
      <c r="AI18" s="50">
        <f>(AI16+AI17)*Assumptions!E76</f>
        <v>539.89739999999995</v>
      </c>
      <c r="AJ18" s="50">
        <f>(AJ16+AJ17)*Assumptions!E76</f>
        <v>539.89739999999995</v>
      </c>
      <c r="AK18" s="50">
        <f>(AK16+AK17)*Assumptions!E76</f>
        <v>539.89739999999995</v>
      </c>
      <c r="AL18" s="50">
        <f>(AL16+AL17)*Assumptions!E76</f>
        <v>539.89739999999995</v>
      </c>
      <c r="AM18" s="50">
        <f>(AM16+AM17)*Assumptions!E76</f>
        <v>539.89739999999995</v>
      </c>
      <c r="AN18" s="50">
        <f>(AN16+AN17)*Assumptions!E76</f>
        <v>539.89739999999995</v>
      </c>
      <c r="AO18" s="50">
        <f>(AO16+AO17)*Assumptions!E76</f>
        <v>6478.7687999999998</v>
      </c>
      <c r="AP18" s="50">
        <f>(AP16+AP17)*Assumptions!E76</f>
        <v>558.7938089999999</v>
      </c>
      <c r="AQ18" s="50">
        <f>(AQ16+AQ17)*Assumptions!E76</f>
        <v>558.7938089999999</v>
      </c>
      <c r="AR18" s="50">
        <f>(AR16+AR17)*Assumptions!E76</f>
        <v>558.7938089999999</v>
      </c>
      <c r="AS18" s="50">
        <f>(AS16+AS17)*Assumptions!E76</f>
        <v>558.7938089999999</v>
      </c>
      <c r="AT18" s="50">
        <f>(AT16+AT17)*Assumptions!E76</f>
        <v>558.7938089999999</v>
      </c>
      <c r="AU18" s="50">
        <f>(AU16+AU17)*Assumptions!E76</f>
        <v>558.7938089999999</v>
      </c>
      <c r="AV18" s="50">
        <f>(AV16+AV17)*Assumptions!E76</f>
        <v>558.7938089999999</v>
      </c>
      <c r="AW18" s="50">
        <f>(AW16+AW17)*Assumptions!E76</f>
        <v>558.7938089999999</v>
      </c>
      <c r="AX18" s="50">
        <f>(AX16+AX17)*Assumptions!E76</f>
        <v>558.7938089999999</v>
      </c>
      <c r="AY18" s="50">
        <f>(AY16+AY17)*Assumptions!E76</f>
        <v>558.7938089999999</v>
      </c>
      <c r="AZ18" s="50">
        <f>(AZ16+AZ17)*Assumptions!E76</f>
        <v>558.7938089999999</v>
      </c>
      <c r="BA18" s="50">
        <f>(BA16+BA17)*Assumptions!E76</f>
        <v>558.7938089999999</v>
      </c>
      <c r="BB18" s="50">
        <f>(BB16+BB17)*Assumptions!E76</f>
        <v>6705.5257079999992</v>
      </c>
      <c r="BC18" s="50">
        <f>(BC16+BC17)*Assumptions!E76</f>
        <v>578.35159231499995</v>
      </c>
      <c r="BD18" s="50">
        <f>(BD16+BD17)*Assumptions!E76</f>
        <v>578.35159231499995</v>
      </c>
      <c r="BE18" s="50">
        <f>(BE16+BE17)*Assumptions!E76</f>
        <v>578.35159231499995</v>
      </c>
      <c r="BF18" s="50">
        <f>(BF16+BF17)*Assumptions!E76</f>
        <v>578.35159231499995</v>
      </c>
      <c r="BG18" s="50">
        <f>(BG16+BG17)*Assumptions!E76</f>
        <v>578.35159231499995</v>
      </c>
      <c r="BH18" s="50">
        <f>(BH16+BH17)*Assumptions!E76</f>
        <v>578.35159231499995</v>
      </c>
      <c r="BI18" s="50">
        <f>(BI16+BI17)*Assumptions!E76</f>
        <v>578.35159231499995</v>
      </c>
      <c r="BJ18" s="50">
        <f>(BJ16+BJ17)*Assumptions!E76</f>
        <v>578.35159231499995</v>
      </c>
      <c r="BK18" s="50">
        <f>(BK16+BK17)*Assumptions!E76</f>
        <v>578.35159231499995</v>
      </c>
      <c r="BL18" s="50">
        <f>(BL16+BL17)*Assumptions!E76</f>
        <v>578.35159231499995</v>
      </c>
      <c r="BM18" s="50">
        <f>(BM16+BM17)*Assumptions!E76</f>
        <v>578.35159231499995</v>
      </c>
      <c r="BN18" s="50">
        <f>(BN16+BN17)*Assumptions!E76</f>
        <v>578.35159231499995</v>
      </c>
      <c r="BO18" s="50">
        <f>(BO16+BO17)*Assumptions!E76</f>
        <v>6940.2191077799989</v>
      </c>
    </row>
    <row r="19" ht="15" customHeight="1">
      <c r="A19" s="51" t="inlineStr">
        <is>
          <t>Total Indirect Labor</t>
        </is>
      </c>
      <c r="B19" s="53" t="n"/>
      <c r="C19" s="52">
        <f>C15+C16+C17+C18</f>
        <v>27246.899024999995</v>
      </c>
      <c r="D19" s="52">
        <f>D15+D16+D17+D18</f>
        <v>27246.899024999995</v>
      </c>
      <c r="E19" s="52">
        <f>E15+E16+E17+E18</f>
        <v>27246.899024999995</v>
      </c>
      <c r="F19" s="52">
        <f>F15+F16+F17+F18</f>
        <v>27246.899024999995</v>
      </c>
      <c r="G19" s="52">
        <f>G15+G16+G17+G18</f>
        <v>27246.899024999995</v>
      </c>
      <c r="H19" s="52">
        <f>H15+H16+H17+H18</f>
        <v>27246.899024999995</v>
      </c>
      <c r="I19" s="52">
        <f>I15+I16+I17+I18</f>
        <v>27246.899024999995</v>
      </c>
      <c r="J19" s="52">
        <f>J15+J16+J17+J18</f>
        <v>27246.899024999995</v>
      </c>
      <c r="K19" s="52">
        <f>K15+K16+K17+K18</f>
        <v>27246.899024999995</v>
      </c>
      <c r="L19" s="52">
        <f>L15+L16+L17+L18</f>
        <v>27246.899024999995</v>
      </c>
      <c r="M19" s="52">
        <f>M15+M16+M17+M18</f>
        <v>27246.899024999995</v>
      </c>
      <c r="N19" s="52">
        <f>N15+N16+N17+N18</f>
        <v>27246.899024999995</v>
      </c>
      <c r="O19" s="52">
        <f>O15+O16+O17+O18</f>
        <v>326962.7882999999</v>
      </c>
      <c r="P19" s="52">
        <f>P15+P16+P17+P18</f>
        <v>28200.540490874992</v>
      </c>
      <c r="Q19" s="52">
        <f>Q15+Q16+Q17+Q18</f>
        <v>28200.540490874992</v>
      </c>
      <c r="R19" s="52">
        <f>R15+R16+R17+R18</f>
        <v>28200.540490874992</v>
      </c>
      <c r="S19" s="52">
        <f>S15+S16+S17+S18</f>
        <v>28200.540490874992</v>
      </c>
      <c r="T19" s="52">
        <f>T15+T16+T17+T18</f>
        <v>28200.540490874992</v>
      </c>
      <c r="U19" s="52">
        <f>U15+U16+U17+U18</f>
        <v>28200.540490874992</v>
      </c>
      <c r="V19" s="52">
        <f>V15+V16+V17+V18</f>
        <v>28200.540490874992</v>
      </c>
      <c r="W19" s="52">
        <f>W15+W16+W17+W18</f>
        <v>28200.540490874992</v>
      </c>
      <c r="X19" s="52">
        <f>X15+X16+X17+X18</f>
        <v>28200.540490874992</v>
      </c>
      <c r="Y19" s="52">
        <f>Y15+Y16+Y17+Y18</f>
        <v>28200.540490874992</v>
      </c>
      <c r="Z19" s="52">
        <f>Z15+Z16+Z17+Z18</f>
        <v>28200.540490874992</v>
      </c>
      <c r="AA19" s="52">
        <f>AA15+AA16+AA17+AA18</f>
        <v>28200.540490874992</v>
      </c>
      <c r="AB19" s="52">
        <f>AB15+AB16+AB17+AB18</f>
        <v>338406.4858904999</v>
      </c>
      <c r="AC19" s="52">
        <f>AC15+AC16+AC17+AC18</f>
        <v>29187.559408055615</v>
      </c>
      <c r="AD19" s="52">
        <f>AD15+AD16+AD17+AD18</f>
        <v>29187.559408055615</v>
      </c>
      <c r="AE19" s="52">
        <f>AE15+AE16+AE17+AE18</f>
        <v>29187.559408055615</v>
      </c>
      <c r="AF19" s="52">
        <f>AF15+AF16+AF17+AF18</f>
        <v>29187.559408055615</v>
      </c>
      <c r="AG19" s="52">
        <f>AG15+AG16+AG17+AG18</f>
        <v>29187.559408055615</v>
      </c>
      <c r="AH19" s="52">
        <f>AH15+AH16+AH17+AH18</f>
        <v>29187.559408055615</v>
      </c>
      <c r="AI19" s="52">
        <f>AI15+AI16+AI17+AI18</f>
        <v>29187.559408055615</v>
      </c>
      <c r="AJ19" s="52">
        <f>AJ15+AJ16+AJ17+AJ18</f>
        <v>29187.559408055615</v>
      </c>
      <c r="AK19" s="52">
        <f>AK15+AK16+AK17+AK18</f>
        <v>29187.559408055615</v>
      </c>
      <c r="AL19" s="52">
        <f>AL15+AL16+AL17+AL18</f>
        <v>29187.559408055615</v>
      </c>
      <c r="AM19" s="52">
        <f>AM15+AM16+AM17+AM18</f>
        <v>29187.559408055615</v>
      </c>
      <c r="AN19" s="52">
        <f>AN15+AN16+AN17+AN18</f>
        <v>29187.559408055615</v>
      </c>
      <c r="AO19" s="52">
        <f>AO15+AO16+AO17+AO18</f>
        <v>350250.71289666742</v>
      </c>
      <c r="AP19" s="52">
        <f>AP15+AP16+AP17+AP18</f>
        <v>30209.12398733756</v>
      </c>
      <c r="AQ19" s="52">
        <f>AQ15+AQ16+AQ17+AQ18</f>
        <v>30209.12398733756</v>
      </c>
      <c r="AR19" s="52">
        <f>AR15+AR16+AR17+AR18</f>
        <v>30209.12398733756</v>
      </c>
      <c r="AS19" s="52">
        <f>AS15+AS16+AS17+AS18</f>
        <v>30209.12398733756</v>
      </c>
      <c r="AT19" s="52">
        <f>AT15+AT16+AT17+AT18</f>
        <v>30209.12398733756</v>
      </c>
      <c r="AU19" s="52">
        <f>AU15+AU16+AU17+AU18</f>
        <v>30209.12398733756</v>
      </c>
      <c r="AV19" s="52">
        <f>AV15+AV16+AV17+AV18</f>
        <v>30209.12398733756</v>
      </c>
      <c r="AW19" s="52">
        <f>AW15+AW16+AW17+AW18</f>
        <v>30209.12398733756</v>
      </c>
      <c r="AX19" s="52">
        <f>AX15+AX16+AX17+AX18</f>
        <v>30209.12398733756</v>
      </c>
      <c r="AY19" s="52">
        <f>AY15+AY16+AY17+AY18</f>
        <v>30209.12398733756</v>
      </c>
      <c r="AZ19" s="52">
        <f>AZ15+AZ16+AZ17+AZ18</f>
        <v>30209.12398733756</v>
      </c>
      <c r="BA19" s="52">
        <f>BA15+BA16+BA17+BA18</f>
        <v>30209.12398733756</v>
      </c>
      <c r="BB19" s="52">
        <f>BB15+BB16+BB17+BB18</f>
        <v>362509.48784805072</v>
      </c>
      <c r="BC19" s="52">
        <f>BC15+BC16+BC17+BC18</f>
        <v>31266.443326894376</v>
      </c>
      <c r="BD19" s="52">
        <f>BD15+BD16+BD17+BD18</f>
        <v>31266.443326894376</v>
      </c>
      <c r="BE19" s="52">
        <f>BE15+BE16+BE17+BE18</f>
        <v>31266.443326894376</v>
      </c>
      <c r="BF19" s="52">
        <f>BF15+BF16+BF17+BF18</f>
        <v>31266.443326894376</v>
      </c>
      <c r="BG19" s="52">
        <f>BG15+BG16+BG17+BG18</f>
        <v>31266.443326894376</v>
      </c>
      <c r="BH19" s="52">
        <f>BH15+BH16+BH17+BH18</f>
        <v>31266.443326894376</v>
      </c>
      <c r="BI19" s="52">
        <f>BI15+BI16+BI17+BI18</f>
        <v>31266.443326894376</v>
      </c>
      <c r="BJ19" s="52">
        <f>BJ15+BJ16+BJ17+BJ18</f>
        <v>31266.443326894376</v>
      </c>
      <c r="BK19" s="52">
        <f>BK15+BK16+BK17+BK18</f>
        <v>31266.443326894376</v>
      </c>
      <c r="BL19" s="52">
        <f>BL15+BL16+BL17+BL18</f>
        <v>31266.443326894376</v>
      </c>
      <c r="BM19" s="52">
        <f>BM15+BM16+BM17+BM18</f>
        <v>31266.443326894376</v>
      </c>
      <c r="BN19" s="52">
        <f>BN15+BN16+BN17+BN18</f>
        <v>31266.443326894376</v>
      </c>
      <c r="BO19" s="52">
        <f>BO15+BO16+BO17+BO18</f>
        <v>375197.31992273254</v>
      </c>
    </row>
    <row r="20" ht="15" customHeight="1">
      <c r="A20" s="49" t="inlineStr">
        <is>
          <t>Software &amp; Systems</t>
        </is>
      </c>
      <c r="C20" s="50">
        <f>$O20/12</f>
        <v>3720.0301250000007</v>
      </c>
      <c r="D20" s="50">
        <f>$O20/12</f>
        <v>3720.0301250000007</v>
      </c>
      <c r="E20" s="50">
        <f>$O20/12</f>
        <v>3720.0301250000007</v>
      </c>
      <c r="F20" s="50">
        <f>$O20/12</f>
        <v>3720.0301250000007</v>
      </c>
      <c r="G20" s="50">
        <f>$O20/12</f>
        <v>3720.0301250000007</v>
      </c>
      <c r="H20" s="50">
        <f>$O20/12</f>
        <v>3720.0301250000007</v>
      </c>
      <c r="I20" s="50">
        <f>$O20/12</f>
        <v>3720.0301250000007</v>
      </c>
      <c r="J20" s="50">
        <f>$O20/12</f>
        <v>3720.0301250000007</v>
      </c>
      <c r="K20" s="50">
        <f>$O20/12</f>
        <v>3720.0301250000007</v>
      </c>
      <c r="L20" s="50">
        <f>$O20/12</f>
        <v>3720.0301250000007</v>
      </c>
      <c r="M20" s="50">
        <f>$O20/12</f>
        <v>3720.0301250000007</v>
      </c>
      <c r="N20" s="50">
        <f>$O20/12</f>
        <v>3720.0301250000007</v>
      </c>
      <c r="O20" s="50">
        <f>Assumptions!E80*(1+Assumptions!E82)</f>
        <v>44640.361500000006</v>
      </c>
      <c r="P20" s="50">
        <f>$AB20/12</f>
        <v>3906.0316312500004</v>
      </c>
      <c r="Q20" s="50">
        <f>$AB20/12</f>
        <v>3906.0316312500004</v>
      </c>
      <c r="R20" s="50">
        <f>$AB20/12</f>
        <v>3906.0316312500004</v>
      </c>
      <c r="S20" s="50">
        <f>$AB20/12</f>
        <v>3906.0316312500004</v>
      </c>
      <c r="T20" s="50">
        <f>$AB20/12</f>
        <v>3906.0316312500004</v>
      </c>
      <c r="U20" s="50">
        <f>$AB20/12</f>
        <v>3906.0316312500004</v>
      </c>
      <c r="V20" s="50">
        <f>$AB20/12</f>
        <v>3906.0316312500004</v>
      </c>
      <c r="W20" s="50">
        <f>$AB20/12</f>
        <v>3906.0316312500004</v>
      </c>
      <c r="X20" s="50">
        <f>$AB20/12</f>
        <v>3906.0316312500004</v>
      </c>
      <c r="Y20" s="50">
        <f>$AB20/12</f>
        <v>3906.0316312500004</v>
      </c>
      <c r="Z20" s="50">
        <f>$AB20/12</f>
        <v>3906.0316312500004</v>
      </c>
      <c r="AA20" s="50">
        <f>$AB20/12</f>
        <v>3906.0316312500004</v>
      </c>
      <c r="AB20" s="50">
        <f>O20*(1+Assumptions!E82)</f>
        <v>46872.379575000006</v>
      </c>
      <c r="AC20" s="50">
        <f>$AO20/12</f>
        <v>4101.3332128125012</v>
      </c>
      <c r="AD20" s="50">
        <f>$AO20/12</f>
        <v>4101.3332128125012</v>
      </c>
      <c r="AE20" s="50">
        <f>$AO20/12</f>
        <v>4101.3332128125012</v>
      </c>
      <c r="AF20" s="50">
        <f>$AO20/12</f>
        <v>4101.3332128125012</v>
      </c>
      <c r="AG20" s="50">
        <f>$AO20/12</f>
        <v>4101.3332128125012</v>
      </c>
      <c r="AH20" s="50">
        <f>$AO20/12</f>
        <v>4101.3332128125012</v>
      </c>
      <c r="AI20" s="50">
        <f>$AO20/12</f>
        <v>4101.3332128125012</v>
      </c>
      <c r="AJ20" s="50">
        <f>$AO20/12</f>
        <v>4101.3332128125012</v>
      </c>
      <c r="AK20" s="50">
        <f>$AO20/12</f>
        <v>4101.3332128125012</v>
      </c>
      <c r="AL20" s="50">
        <f>$AO20/12</f>
        <v>4101.3332128125012</v>
      </c>
      <c r="AM20" s="50">
        <f>$AO20/12</f>
        <v>4101.3332128125012</v>
      </c>
      <c r="AN20" s="50">
        <f>$AO20/12</f>
        <v>4101.3332128125012</v>
      </c>
      <c r="AO20" s="50">
        <f>AB20*(1+Assumptions!E82)</f>
        <v>49215.998553750011</v>
      </c>
      <c r="AP20" s="50">
        <f>$BB20/12</f>
        <v>4306.399873453126</v>
      </c>
      <c r="AQ20" s="50">
        <f>$BB20/12</f>
        <v>4306.399873453126</v>
      </c>
      <c r="AR20" s="50">
        <f>$BB20/12</f>
        <v>4306.399873453126</v>
      </c>
      <c r="AS20" s="50">
        <f>$BB20/12</f>
        <v>4306.399873453126</v>
      </c>
      <c r="AT20" s="50">
        <f>$BB20/12</f>
        <v>4306.399873453126</v>
      </c>
      <c r="AU20" s="50">
        <f>$BB20/12</f>
        <v>4306.399873453126</v>
      </c>
      <c r="AV20" s="50">
        <f>$BB20/12</f>
        <v>4306.399873453126</v>
      </c>
      <c r="AW20" s="50">
        <f>$BB20/12</f>
        <v>4306.399873453126</v>
      </c>
      <c r="AX20" s="50">
        <f>$BB20/12</f>
        <v>4306.399873453126</v>
      </c>
      <c r="AY20" s="50">
        <f>$BB20/12</f>
        <v>4306.399873453126</v>
      </c>
      <c r="AZ20" s="50">
        <f>$BB20/12</f>
        <v>4306.399873453126</v>
      </c>
      <c r="BA20" s="50">
        <f>$BB20/12</f>
        <v>4306.399873453126</v>
      </c>
      <c r="BB20" s="50">
        <f>AO20*(1+Assumptions!E82)</f>
        <v>51676.798481437516</v>
      </c>
      <c r="BC20" s="50">
        <f>$BO20/12</f>
        <v>4521.7198671257829</v>
      </c>
      <c r="BD20" s="50">
        <f>$BO20/12</f>
        <v>4521.7198671257829</v>
      </c>
      <c r="BE20" s="50">
        <f>$BO20/12</f>
        <v>4521.7198671257829</v>
      </c>
      <c r="BF20" s="50">
        <f>$BO20/12</f>
        <v>4521.7198671257829</v>
      </c>
      <c r="BG20" s="50">
        <f>$BO20/12</f>
        <v>4521.7198671257829</v>
      </c>
      <c r="BH20" s="50">
        <f>$BO20/12</f>
        <v>4521.7198671257829</v>
      </c>
      <c r="BI20" s="50">
        <f>$BO20/12</f>
        <v>4521.7198671257829</v>
      </c>
      <c r="BJ20" s="50">
        <f>$BO20/12</f>
        <v>4521.7198671257829</v>
      </c>
      <c r="BK20" s="50">
        <f>$BO20/12</f>
        <v>4521.7198671257829</v>
      </c>
      <c r="BL20" s="50">
        <f>$BO20/12</f>
        <v>4521.7198671257829</v>
      </c>
      <c r="BM20" s="50">
        <f>$BO20/12</f>
        <v>4521.7198671257829</v>
      </c>
      <c r="BN20" s="50">
        <f>$BO20/12</f>
        <v>4521.7198671257829</v>
      </c>
      <c r="BO20" s="50">
        <f>BB20*(1+Assumptions!E82)</f>
        <v>54260.638405509395</v>
      </c>
    </row>
    <row r="21" ht="15" customHeight="1">
      <c r="A21" s="49" t="inlineStr">
        <is>
          <t>General &amp; Administrative (Ex-Software)</t>
        </is>
      </c>
      <c r="C21" s="50">
        <f>$O21/12</f>
        <v>3442.6514000000002</v>
      </c>
      <c r="D21" s="50">
        <f>$O21/12</f>
        <v>3442.6514000000002</v>
      </c>
      <c r="E21" s="50">
        <f>$O21/12</f>
        <v>3442.6514000000002</v>
      </c>
      <c r="F21" s="50">
        <f>$O21/12</f>
        <v>3442.6514000000002</v>
      </c>
      <c r="G21" s="50">
        <f>$O21/12</f>
        <v>3442.6514000000002</v>
      </c>
      <c r="H21" s="50">
        <f>$O21/12</f>
        <v>3442.6514000000002</v>
      </c>
      <c r="I21" s="50">
        <f>$O21/12</f>
        <v>3442.6514000000002</v>
      </c>
      <c r="J21" s="50">
        <f>$O21/12</f>
        <v>3442.6514000000002</v>
      </c>
      <c r="K21" s="50">
        <f>$O21/12</f>
        <v>3442.6514000000002</v>
      </c>
      <c r="L21" s="50">
        <f>$O21/12</f>
        <v>3442.6514000000002</v>
      </c>
      <c r="M21" s="50">
        <f>$O21/12</f>
        <v>3442.6514000000002</v>
      </c>
      <c r="N21" s="50">
        <f>$O21/12</f>
        <v>3442.6514000000002</v>
      </c>
      <c r="O21" s="50">
        <f>Assumptions!E87*(1+Assumptions!E90)</f>
        <v>41311.816800000001</v>
      </c>
      <c r="P21" s="50">
        <f>$AB21/12</f>
        <v>3545.9309420000004</v>
      </c>
      <c r="Q21" s="50">
        <f>$AB21/12</f>
        <v>3545.9309420000004</v>
      </c>
      <c r="R21" s="50">
        <f>$AB21/12</f>
        <v>3545.9309420000004</v>
      </c>
      <c r="S21" s="50">
        <f>$AB21/12</f>
        <v>3545.9309420000004</v>
      </c>
      <c r="T21" s="50">
        <f>$AB21/12</f>
        <v>3545.9309420000004</v>
      </c>
      <c r="U21" s="50">
        <f>$AB21/12</f>
        <v>3545.9309420000004</v>
      </c>
      <c r="V21" s="50">
        <f>$AB21/12</f>
        <v>3545.9309420000004</v>
      </c>
      <c r="W21" s="50">
        <f>$AB21/12</f>
        <v>3545.9309420000004</v>
      </c>
      <c r="X21" s="50">
        <f>$AB21/12</f>
        <v>3545.9309420000004</v>
      </c>
      <c r="Y21" s="50">
        <f>$AB21/12</f>
        <v>3545.9309420000004</v>
      </c>
      <c r="Z21" s="50">
        <f>$AB21/12</f>
        <v>3545.9309420000004</v>
      </c>
      <c r="AA21" s="50">
        <f>$AB21/12</f>
        <v>3545.9309420000004</v>
      </c>
      <c r="AB21" s="50">
        <f>O21*(1+Assumptions!E90)</f>
        <v>42551.171304000003</v>
      </c>
      <c r="AC21" s="50">
        <f>$AO21/12</f>
        <v>3652.3088702600003</v>
      </c>
      <c r="AD21" s="50">
        <f>$AO21/12</f>
        <v>3652.3088702600003</v>
      </c>
      <c r="AE21" s="50">
        <f>$AO21/12</f>
        <v>3652.3088702600003</v>
      </c>
      <c r="AF21" s="50">
        <f>$AO21/12</f>
        <v>3652.3088702600003</v>
      </c>
      <c r="AG21" s="50">
        <f>$AO21/12</f>
        <v>3652.3088702600003</v>
      </c>
      <c r="AH21" s="50">
        <f>$AO21/12</f>
        <v>3652.3088702600003</v>
      </c>
      <c r="AI21" s="50">
        <f>$AO21/12</f>
        <v>3652.3088702600003</v>
      </c>
      <c r="AJ21" s="50">
        <f>$AO21/12</f>
        <v>3652.3088702600003</v>
      </c>
      <c r="AK21" s="50">
        <f>$AO21/12</f>
        <v>3652.3088702600003</v>
      </c>
      <c r="AL21" s="50">
        <f>$AO21/12</f>
        <v>3652.3088702600003</v>
      </c>
      <c r="AM21" s="50">
        <f>$AO21/12</f>
        <v>3652.3088702600003</v>
      </c>
      <c r="AN21" s="50">
        <f>$AO21/12</f>
        <v>3652.3088702600003</v>
      </c>
      <c r="AO21" s="50">
        <f>AB21*(1+Assumptions!E90)</f>
        <v>43827.706443120005</v>
      </c>
      <c r="AP21" s="50">
        <f>$BB21/12</f>
        <v>3761.8781363678008</v>
      </c>
      <c r="AQ21" s="50">
        <f>$BB21/12</f>
        <v>3761.8781363678008</v>
      </c>
      <c r="AR21" s="50">
        <f>$BB21/12</f>
        <v>3761.8781363678008</v>
      </c>
      <c r="AS21" s="50">
        <f>$BB21/12</f>
        <v>3761.8781363678008</v>
      </c>
      <c r="AT21" s="50">
        <f>$BB21/12</f>
        <v>3761.8781363678008</v>
      </c>
      <c r="AU21" s="50">
        <f>$BB21/12</f>
        <v>3761.8781363678008</v>
      </c>
      <c r="AV21" s="50">
        <f>$BB21/12</f>
        <v>3761.8781363678008</v>
      </c>
      <c r="AW21" s="50">
        <f>$BB21/12</f>
        <v>3761.8781363678008</v>
      </c>
      <c r="AX21" s="50">
        <f>$BB21/12</f>
        <v>3761.8781363678008</v>
      </c>
      <c r="AY21" s="50">
        <f>$BB21/12</f>
        <v>3761.8781363678008</v>
      </c>
      <c r="AZ21" s="50">
        <f>$BB21/12</f>
        <v>3761.8781363678008</v>
      </c>
      <c r="BA21" s="50">
        <f>$BB21/12</f>
        <v>3761.8781363678008</v>
      </c>
      <c r="BB21" s="50">
        <f>AO21*(1+Assumptions!E90)</f>
        <v>45142.53763641361</v>
      </c>
      <c r="BC21" s="50">
        <f>$BO21/12</f>
        <v>3874.7344804588352</v>
      </c>
      <c r="BD21" s="50">
        <f>$BO21/12</f>
        <v>3874.7344804588352</v>
      </c>
      <c r="BE21" s="50">
        <f>$BO21/12</f>
        <v>3874.7344804588352</v>
      </c>
      <c r="BF21" s="50">
        <f>$BO21/12</f>
        <v>3874.7344804588352</v>
      </c>
      <c r="BG21" s="50">
        <f>$BO21/12</f>
        <v>3874.7344804588352</v>
      </c>
      <c r="BH21" s="50">
        <f>$BO21/12</f>
        <v>3874.7344804588352</v>
      </c>
      <c r="BI21" s="50">
        <f>$BO21/12</f>
        <v>3874.7344804588352</v>
      </c>
      <c r="BJ21" s="50">
        <f>$BO21/12</f>
        <v>3874.7344804588352</v>
      </c>
      <c r="BK21" s="50">
        <f>$BO21/12</f>
        <v>3874.7344804588352</v>
      </c>
      <c r="BL21" s="50">
        <f>$BO21/12</f>
        <v>3874.7344804588352</v>
      </c>
      <c r="BM21" s="50">
        <f>$BO21/12</f>
        <v>3874.7344804588352</v>
      </c>
      <c r="BN21" s="50">
        <f>$BO21/12</f>
        <v>3874.7344804588352</v>
      </c>
      <c r="BO21" s="50">
        <f>BB21*(1+Assumptions!E90)</f>
        <v>46496.81376550602</v>
      </c>
    </row>
    <row r="22" ht="15" customHeight="1">
      <c r="A22" s="49" t="inlineStr">
        <is>
          <t>Fees &amp; Charges (Bank / Credit Card)</t>
        </is>
      </c>
      <c r="C22" s="50">
        <f>C7*Assumptions!E89</f>
        <v>2634.7376000000004</v>
      </c>
      <c r="D22" s="50">
        <f>D7*Assumptions!E89</f>
        <v>2634.7376000000004</v>
      </c>
      <c r="E22" s="50">
        <f>E7*Assumptions!E89</f>
        <v>2634.7376000000004</v>
      </c>
      <c r="F22" s="50">
        <f>F7*Assumptions!E89</f>
        <v>2634.7376000000004</v>
      </c>
      <c r="G22" s="50">
        <f>G7*Assumptions!E89</f>
        <v>2634.7376000000004</v>
      </c>
      <c r="H22" s="50">
        <f>H7*Assumptions!E89</f>
        <v>2634.7376000000004</v>
      </c>
      <c r="I22" s="50">
        <f>I7*Assumptions!E89</f>
        <v>2634.7376000000004</v>
      </c>
      <c r="J22" s="50">
        <f>J7*Assumptions!E89</f>
        <v>2634.7376000000004</v>
      </c>
      <c r="K22" s="50">
        <f>K7*Assumptions!E89</f>
        <v>2634.7376000000004</v>
      </c>
      <c r="L22" s="50">
        <f>L7*Assumptions!E89</f>
        <v>2634.7376000000004</v>
      </c>
      <c r="M22" s="50">
        <f>M7*Assumptions!E89</f>
        <v>2634.7376000000004</v>
      </c>
      <c r="N22" s="50">
        <f>N7*Assumptions!E89</f>
        <v>2634.7376000000004</v>
      </c>
      <c r="O22" s="50">
        <f>O7*Assumptions!E89</f>
        <v>31616.851200000001</v>
      </c>
      <c r="P22" s="50">
        <f>P7*Assumptions!E89</f>
        <v>2753.3007919999995</v>
      </c>
      <c r="Q22" s="50">
        <f>Q7*Assumptions!E89</f>
        <v>2753.3007919999995</v>
      </c>
      <c r="R22" s="50">
        <f>R7*Assumptions!E89</f>
        <v>2753.3007919999995</v>
      </c>
      <c r="S22" s="50">
        <f>S7*Assumptions!E89</f>
        <v>2753.3007919999995</v>
      </c>
      <c r="T22" s="50">
        <f>T7*Assumptions!E89</f>
        <v>2753.3007919999995</v>
      </c>
      <c r="U22" s="50">
        <f>U7*Assumptions!E89</f>
        <v>2753.3007919999995</v>
      </c>
      <c r="V22" s="50">
        <f>V7*Assumptions!E89</f>
        <v>2753.3007919999995</v>
      </c>
      <c r="W22" s="50">
        <f>W7*Assumptions!E89</f>
        <v>2753.3007919999995</v>
      </c>
      <c r="X22" s="50">
        <f>X7*Assumptions!E89</f>
        <v>2753.3007919999995</v>
      </c>
      <c r="Y22" s="50">
        <f>Y7*Assumptions!E89</f>
        <v>2753.3007919999995</v>
      </c>
      <c r="Z22" s="50">
        <f>Z7*Assumptions!E89</f>
        <v>2753.3007919999995</v>
      </c>
      <c r="AA22" s="50">
        <f>AA7*Assumptions!E89</f>
        <v>2753.3007919999995</v>
      </c>
      <c r="AB22" s="50">
        <f>AB7*Assumptions!E89</f>
        <v>33039.609504</v>
      </c>
      <c r="AC22" s="50">
        <f>AC7*Assumptions!E89</f>
        <v>2877.1993276399999</v>
      </c>
      <c r="AD22" s="50">
        <f>AD7*Assumptions!E89</f>
        <v>2877.1993276399999</v>
      </c>
      <c r="AE22" s="50">
        <f>AE7*Assumptions!E89</f>
        <v>2877.1993276399999</v>
      </c>
      <c r="AF22" s="50">
        <f>AF7*Assumptions!E89</f>
        <v>2877.1993276399999</v>
      </c>
      <c r="AG22" s="50">
        <f>AG7*Assumptions!E89</f>
        <v>2877.1993276399999</v>
      </c>
      <c r="AH22" s="50">
        <f>AH7*Assumptions!E89</f>
        <v>2877.1993276399999</v>
      </c>
      <c r="AI22" s="50">
        <f>AI7*Assumptions!E89</f>
        <v>2877.1993276399999</v>
      </c>
      <c r="AJ22" s="50">
        <f>AJ7*Assumptions!E89</f>
        <v>2877.1993276399999</v>
      </c>
      <c r="AK22" s="50">
        <f>AK7*Assumptions!E89</f>
        <v>2877.1993276399999</v>
      </c>
      <c r="AL22" s="50">
        <f>AL7*Assumptions!E89</f>
        <v>2877.1993276399999</v>
      </c>
      <c r="AM22" s="50">
        <f>AM7*Assumptions!E89</f>
        <v>2877.1993276399999</v>
      </c>
      <c r="AN22" s="50">
        <f>AN7*Assumptions!E89</f>
        <v>2877.1993276399999</v>
      </c>
      <c r="AO22" s="50">
        <f>AO7*Assumptions!E89</f>
        <v>34526.391931679995</v>
      </c>
      <c r="AP22" s="50">
        <f>AP7*Assumptions!E89</f>
        <v>3006.6732973837993</v>
      </c>
      <c r="AQ22" s="50">
        <f>AQ7*Assumptions!E89</f>
        <v>3006.6732973837993</v>
      </c>
      <c r="AR22" s="50">
        <f>AR7*Assumptions!E89</f>
        <v>3006.6732973837993</v>
      </c>
      <c r="AS22" s="50">
        <f>AS7*Assumptions!E89</f>
        <v>3006.6732973837993</v>
      </c>
      <c r="AT22" s="50">
        <f>AT7*Assumptions!E89</f>
        <v>3006.6732973837993</v>
      </c>
      <c r="AU22" s="50">
        <f>AU7*Assumptions!E89</f>
        <v>3006.6732973837993</v>
      </c>
      <c r="AV22" s="50">
        <f>AV7*Assumptions!E89</f>
        <v>3006.6732973837993</v>
      </c>
      <c r="AW22" s="50">
        <f>AW7*Assumptions!E89</f>
        <v>3006.6732973837993</v>
      </c>
      <c r="AX22" s="50">
        <f>AX7*Assumptions!E89</f>
        <v>3006.6732973837993</v>
      </c>
      <c r="AY22" s="50">
        <f>AY7*Assumptions!E89</f>
        <v>3006.6732973837993</v>
      </c>
      <c r="AZ22" s="50">
        <f>AZ7*Assumptions!E89</f>
        <v>3006.6732973837993</v>
      </c>
      <c r="BA22" s="50">
        <f>BA7*Assumptions!E89</f>
        <v>3006.6732973837993</v>
      </c>
      <c r="BB22" s="50">
        <f>BB7*Assumptions!E89</f>
        <v>36080.079568605594</v>
      </c>
      <c r="BC22" s="50">
        <f>BC7*Assumptions!E89</f>
        <v>3141.9735957660705</v>
      </c>
      <c r="BD22" s="50">
        <f>BD7*Assumptions!E89</f>
        <v>3141.9735957660705</v>
      </c>
      <c r="BE22" s="50">
        <f>BE7*Assumptions!E89</f>
        <v>3141.9735957660705</v>
      </c>
      <c r="BF22" s="50">
        <f>BF7*Assumptions!E89</f>
        <v>3141.9735957660705</v>
      </c>
      <c r="BG22" s="50">
        <f>BG7*Assumptions!E89</f>
        <v>3141.9735957660705</v>
      </c>
      <c r="BH22" s="50">
        <f>BH7*Assumptions!E89</f>
        <v>3141.9735957660705</v>
      </c>
      <c r="BI22" s="50">
        <f>BI7*Assumptions!E89</f>
        <v>3141.9735957660705</v>
      </c>
      <c r="BJ22" s="50">
        <f>BJ7*Assumptions!E89</f>
        <v>3141.9735957660705</v>
      </c>
      <c r="BK22" s="50">
        <f>BK7*Assumptions!E89</f>
        <v>3141.9735957660705</v>
      </c>
      <c r="BL22" s="50">
        <f>BL7*Assumptions!E89</f>
        <v>3141.9735957660705</v>
      </c>
      <c r="BM22" s="50">
        <f>BM7*Assumptions!E89</f>
        <v>3141.9735957660705</v>
      </c>
      <c r="BN22" s="50">
        <f>BN7*Assumptions!E89</f>
        <v>3141.9735957660705</v>
      </c>
      <c r="BO22" s="50">
        <f>BO7*Assumptions!E89</f>
        <v>37703.683149192839</v>
      </c>
    </row>
    <row r="23" ht="15" customHeight="1">
      <c r="A23" s="60" t="inlineStr">
        <is>
          <t>Total Operating Expenses</t>
        </is>
      </c>
      <c r="B23" s="53" t="n"/>
      <c r="C23" s="52">
        <f>C14+C19+C20+C21+C22</f>
        <v>41711.846399999995</v>
      </c>
      <c r="D23" s="52">
        <f>D14+D19+D20+D21+D22</f>
        <v>41711.846399999995</v>
      </c>
      <c r="E23" s="52">
        <f>E14+E19+E20+E21+E22</f>
        <v>41711.846399999995</v>
      </c>
      <c r="F23" s="52">
        <f>F14+F19+F20+F21+F22</f>
        <v>41711.846399999995</v>
      </c>
      <c r="G23" s="52">
        <f>G14+G19+G20+G21+G22</f>
        <v>41711.846399999995</v>
      </c>
      <c r="H23" s="52">
        <f>H14+H19+H20+H21+H22</f>
        <v>41711.846399999995</v>
      </c>
      <c r="I23" s="52">
        <f>I14+I19+I20+I21+I22</f>
        <v>41711.846399999995</v>
      </c>
      <c r="J23" s="52">
        <f>J14+J19+J20+J21+J22</f>
        <v>41711.846399999995</v>
      </c>
      <c r="K23" s="52">
        <f>K14+K19+K20+K21+K22</f>
        <v>41711.846399999995</v>
      </c>
      <c r="L23" s="52">
        <f>L14+L19+L20+L21+L22</f>
        <v>41711.846399999995</v>
      </c>
      <c r="M23" s="52">
        <f>M14+M19+M20+M21+M22</f>
        <v>41711.846399999995</v>
      </c>
      <c r="N23" s="52">
        <f>N14+N19+N20+N21+N22</f>
        <v>41711.846399999995</v>
      </c>
      <c r="O23" s="52">
        <f>O14+O19+O20+O21+O22</f>
        <v>500542.15679999994</v>
      </c>
      <c r="P23" s="52">
        <f>P14+P19+P20+P21+P22</f>
        <v>43540.084931124991</v>
      </c>
      <c r="Q23" s="52">
        <f>Q14+Q19+Q20+Q21+Q22</f>
        <v>43540.084931124991</v>
      </c>
      <c r="R23" s="52">
        <f>R14+R19+R20+R21+R22</f>
        <v>43540.084931124991</v>
      </c>
      <c r="S23" s="52">
        <f>S14+S19+S20+S21+S22</f>
        <v>43540.084931124991</v>
      </c>
      <c r="T23" s="52">
        <f>T14+T19+T20+T21+T22</f>
        <v>43540.084931124991</v>
      </c>
      <c r="U23" s="52">
        <f>U14+U19+U20+U21+U22</f>
        <v>43540.084931124991</v>
      </c>
      <c r="V23" s="52">
        <f>V14+V19+V20+V21+V22</f>
        <v>43540.084931124991</v>
      </c>
      <c r="W23" s="52">
        <f>W14+W19+W20+W21+W22</f>
        <v>43540.084931124991</v>
      </c>
      <c r="X23" s="52">
        <f>X14+X19+X20+X21+X22</f>
        <v>43540.084931124991</v>
      </c>
      <c r="Y23" s="52">
        <f>Y14+Y19+Y20+Y21+Y22</f>
        <v>43540.084931124991</v>
      </c>
      <c r="Z23" s="52">
        <f>Z14+Z19+Z20+Z21+Z22</f>
        <v>43540.084931124991</v>
      </c>
      <c r="AA23" s="52">
        <f>AA14+AA19+AA20+AA21+AA22</f>
        <v>43540.084931124991</v>
      </c>
      <c r="AB23" s="52">
        <f>AB14+AB19+AB20+AB21+AB22</f>
        <v>522481.01917349995</v>
      </c>
      <c r="AC23" s="52">
        <f>AC14+AC19+AC20+AC21+AC22</f>
        <v>45466.11000126812</v>
      </c>
      <c r="AD23" s="52">
        <f>AD14+AD19+AD20+AD21+AD22</f>
        <v>45466.11000126812</v>
      </c>
      <c r="AE23" s="52">
        <f>AE14+AE19+AE20+AE21+AE22</f>
        <v>45466.11000126812</v>
      </c>
      <c r="AF23" s="52">
        <f>AF14+AF19+AF20+AF21+AF22</f>
        <v>45466.11000126812</v>
      </c>
      <c r="AG23" s="52">
        <f>AG14+AG19+AG20+AG21+AG22</f>
        <v>45466.11000126812</v>
      </c>
      <c r="AH23" s="52">
        <f>AH14+AH19+AH20+AH21+AH22</f>
        <v>45466.11000126812</v>
      </c>
      <c r="AI23" s="52">
        <f>AI14+AI19+AI20+AI21+AI22</f>
        <v>45466.11000126812</v>
      </c>
      <c r="AJ23" s="52">
        <f>AJ14+AJ19+AJ20+AJ21+AJ22</f>
        <v>45466.11000126812</v>
      </c>
      <c r="AK23" s="52">
        <f>AK14+AK19+AK20+AK21+AK22</f>
        <v>45466.11000126812</v>
      </c>
      <c r="AL23" s="52">
        <f>AL14+AL19+AL20+AL21+AL22</f>
        <v>45466.11000126812</v>
      </c>
      <c r="AM23" s="52">
        <f>AM14+AM19+AM20+AM21+AM22</f>
        <v>45466.11000126812</v>
      </c>
      <c r="AN23" s="52">
        <f>AN14+AN19+AN20+AN21+AN22</f>
        <v>45466.11000126812</v>
      </c>
      <c r="AO23" s="52">
        <f>AO14+AO19+AO20+AO21+AO22</f>
        <v>545593.32001521741</v>
      </c>
      <c r="AP23" s="52">
        <f>AP14+AP19+AP20+AP21+AP22</f>
        <v>47496.555395292286</v>
      </c>
      <c r="AQ23" s="52">
        <f>AQ14+AQ19+AQ20+AQ21+AQ22</f>
        <v>47496.555395292286</v>
      </c>
      <c r="AR23" s="52">
        <f>AR14+AR19+AR20+AR21+AR22</f>
        <v>47496.555395292286</v>
      </c>
      <c r="AS23" s="52">
        <f>AS14+AS19+AS20+AS21+AS22</f>
        <v>47496.555395292286</v>
      </c>
      <c r="AT23" s="52">
        <f>AT14+AT19+AT20+AT21+AT22</f>
        <v>47496.555395292286</v>
      </c>
      <c r="AU23" s="52">
        <f>AU14+AU19+AU20+AU21+AU22</f>
        <v>47496.555395292286</v>
      </c>
      <c r="AV23" s="52">
        <f>AV14+AV19+AV20+AV21+AV22</f>
        <v>47496.555395292286</v>
      </c>
      <c r="AW23" s="52">
        <f>AW14+AW19+AW20+AW21+AW22</f>
        <v>47496.555395292286</v>
      </c>
      <c r="AX23" s="52">
        <f>AX14+AX19+AX20+AX21+AX22</f>
        <v>47496.555395292286</v>
      </c>
      <c r="AY23" s="52">
        <f>AY14+AY19+AY20+AY21+AY22</f>
        <v>47496.555395292286</v>
      </c>
      <c r="AZ23" s="52">
        <f>AZ14+AZ19+AZ20+AZ21+AZ22</f>
        <v>47496.555395292286</v>
      </c>
      <c r="BA23" s="52">
        <f>BA14+BA19+BA20+BA21+BA22</f>
        <v>47496.555395292286</v>
      </c>
      <c r="BB23" s="52">
        <f>BB14+BB19+BB20+BB21+BB22</f>
        <v>569958.66474350751</v>
      </c>
      <c r="BC23" s="52">
        <f>BC14+BC19+BC20+BC21+BC22</f>
        <v>49638.599381070075</v>
      </c>
      <c r="BD23" s="52">
        <f>BD14+BD19+BD20+BD21+BD22</f>
        <v>49638.599381070075</v>
      </c>
      <c r="BE23" s="52">
        <f>BE14+BE19+BE20+BE21+BE22</f>
        <v>49638.599381070075</v>
      </c>
      <c r="BF23" s="52">
        <f>BF14+BF19+BF20+BF21+BF22</f>
        <v>49638.599381070075</v>
      </c>
      <c r="BG23" s="52">
        <f>BG14+BG19+BG20+BG21+BG22</f>
        <v>49638.599381070075</v>
      </c>
      <c r="BH23" s="52">
        <f>BH14+BH19+BH20+BH21+BH22</f>
        <v>49638.599381070075</v>
      </c>
      <c r="BI23" s="52">
        <f>BI14+BI19+BI20+BI21+BI22</f>
        <v>49638.599381070075</v>
      </c>
      <c r="BJ23" s="52">
        <f>BJ14+BJ19+BJ20+BJ21+BJ22</f>
        <v>49638.599381070075</v>
      </c>
      <c r="BK23" s="52">
        <f>BK14+BK19+BK20+BK21+BK22</f>
        <v>49638.599381070075</v>
      </c>
      <c r="BL23" s="52">
        <f>BL14+BL19+BL20+BL21+BL22</f>
        <v>49638.599381070075</v>
      </c>
      <c r="BM23" s="52">
        <f>BM14+BM19+BM20+BM21+BM22</f>
        <v>49638.599381070075</v>
      </c>
      <c r="BN23" s="52">
        <f>BN14+BN19+BN20+BN21+BN22</f>
        <v>49638.599381070075</v>
      </c>
      <c r="BO23" s="52">
        <f>BO14+BO19+BO20+BO21+BO22</f>
        <v>595663.19257284084</v>
      </c>
    </row>
    <row r="24"/>
    <row r="25" ht="15" customHeight="1">
      <c r="A25" s="60" t="inlineStr">
        <is>
          <t>EBITDA</t>
        </is>
      </c>
      <c r="B25" s="53" t="n"/>
      <c r="C25" s="52">
        <f>C10-C23</f>
        <v>15131.19762654166</v>
      </c>
      <c r="D25" s="52">
        <f>D10-D23</f>
        <v>15131.19762654166</v>
      </c>
      <c r="E25" s="52">
        <f>E10-E23</f>
        <v>15131.19762654166</v>
      </c>
      <c r="F25" s="52">
        <f>F10-F23</f>
        <v>15131.19762654166</v>
      </c>
      <c r="G25" s="52">
        <f>G10-G23</f>
        <v>15131.19762654166</v>
      </c>
      <c r="H25" s="52">
        <f>H10-H23</f>
        <v>15131.19762654166</v>
      </c>
      <c r="I25" s="52">
        <f>I10-I23</f>
        <v>15131.19762654166</v>
      </c>
      <c r="J25" s="52">
        <f>J10-J23</f>
        <v>15131.19762654166</v>
      </c>
      <c r="K25" s="52">
        <f>K10-K23</f>
        <v>15131.19762654166</v>
      </c>
      <c r="L25" s="52">
        <f>L10-L23</f>
        <v>15131.19762654166</v>
      </c>
      <c r="M25" s="52">
        <f>M10-M23</f>
        <v>15131.19762654166</v>
      </c>
      <c r="N25" s="52">
        <f>N10-N23</f>
        <v>15131.19762654166</v>
      </c>
      <c r="O25" s="52">
        <f>O10-O23</f>
        <v>181574.37151849997</v>
      </c>
      <c r="P25" s="52">
        <f>P10-P23</f>
        <v>11142.708395666654</v>
      </c>
      <c r="Q25" s="52">
        <f>Q10-Q23</f>
        <v>11142.708395666654</v>
      </c>
      <c r="R25" s="52">
        <f>R10-R23</f>
        <v>11142.708395666654</v>
      </c>
      <c r="S25" s="52">
        <f>S10-S23</f>
        <v>11142.708395666654</v>
      </c>
      <c r="T25" s="52">
        <f>T10-T23</f>
        <v>11142.708395666654</v>
      </c>
      <c r="U25" s="52">
        <f>U10-U23</f>
        <v>11142.708395666654</v>
      </c>
      <c r="V25" s="52">
        <f>V10-V23</f>
        <v>11142.708395666654</v>
      </c>
      <c r="W25" s="52">
        <f>W10-W23</f>
        <v>11142.708395666654</v>
      </c>
      <c r="X25" s="52">
        <f>X10-X23</f>
        <v>11142.708395666654</v>
      </c>
      <c r="Y25" s="52">
        <f>Y10-Y23</f>
        <v>11142.708395666654</v>
      </c>
      <c r="Z25" s="52">
        <f>Z10-Z23</f>
        <v>11142.708395666654</v>
      </c>
      <c r="AA25" s="52">
        <f>AA10-AA23</f>
        <v>11142.708395666654</v>
      </c>
      <c r="AB25" s="52">
        <f>AB10-AB23</f>
        <v>133712.50074799982</v>
      </c>
      <c r="AC25" s="52">
        <f>AC10-AC23</f>
        <v>11677.409025229157</v>
      </c>
      <c r="AD25" s="52">
        <f>AD10-AD23</f>
        <v>11677.409025229157</v>
      </c>
      <c r="AE25" s="52">
        <f>AE10-AE23</f>
        <v>11677.409025229157</v>
      </c>
      <c r="AF25" s="52">
        <f>AF10-AF23</f>
        <v>11677.409025229157</v>
      </c>
      <c r="AG25" s="52">
        <f>AG10-AG23</f>
        <v>11677.409025229157</v>
      </c>
      <c r="AH25" s="52">
        <f>AH10-AH23</f>
        <v>11677.409025229157</v>
      </c>
      <c r="AI25" s="52">
        <f>AI10-AI23</f>
        <v>11677.409025229157</v>
      </c>
      <c r="AJ25" s="52">
        <f>AJ10-AJ23</f>
        <v>11677.409025229157</v>
      </c>
      <c r="AK25" s="52">
        <f>AK10-AK23</f>
        <v>11677.409025229157</v>
      </c>
      <c r="AL25" s="52">
        <f>AL10-AL23</f>
        <v>11677.409025229157</v>
      </c>
      <c r="AM25" s="52">
        <f>AM10-AM23</f>
        <v>11677.409025229157</v>
      </c>
      <c r="AN25" s="52">
        <f>AN10-AN23</f>
        <v>11677.409025229157</v>
      </c>
      <c r="AO25" s="52">
        <f>AO10-AO23</f>
        <v>140128.90830274974</v>
      </c>
      <c r="AP25" s="52">
        <f>AP10-AP23</f>
        <v>12218.421987397349</v>
      </c>
      <c r="AQ25" s="52">
        <f>AQ10-AQ23</f>
        <v>12218.421987397349</v>
      </c>
      <c r="AR25" s="52">
        <f>AR10-AR23</f>
        <v>12218.421987397349</v>
      </c>
      <c r="AS25" s="52">
        <f>AS10-AS23</f>
        <v>12218.421987397349</v>
      </c>
      <c r="AT25" s="52">
        <f>AT10-AT23</f>
        <v>12218.421987397349</v>
      </c>
      <c r="AU25" s="52">
        <f>AU10-AU23</f>
        <v>12218.421987397349</v>
      </c>
      <c r="AV25" s="52">
        <f>AV10-AV23</f>
        <v>12218.421987397349</v>
      </c>
      <c r="AW25" s="52">
        <f>AW10-AW23</f>
        <v>12218.421987397349</v>
      </c>
      <c r="AX25" s="52">
        <f>AX10-AX23</f>
        <v>12218.421987397349</v>
      </c>
      <c r="AY25" s="52">
        <f>AY10-AY23</f>
        <v>12218.421987397349</v>
      </c>
      <c r="AZ25" s="52">
        <f>AZ10-AZ23</f>
        <v>12218.421987397349</v>
      </c>
      <c r="BA25" s="52">
        <f>BA10-BA23</f>
        <v>12218.421987397349</v>
      </c>
      <c r="BB25" s="52">
        <f>BB10-BB23</f>
        <v>146621.06384876813</v>
      </c>
      <c r="BC25" s="52">
        <f>BC10-BC23</f>
        <v>12763.551983840596</v>
      </c>
      <c r="BD25" s="52">
        <f>BD10-BD23</f>
        <v>12763.551983840596</v>
      </c>
      <c r="BE25" s="52">
        <f>BE10-BE23</f>
        <v>12763.551983840596</v>
      </c>
      <c r="BF25" s="52">
        <f>BF10-BF23</f>
        <v>12763.551983840596</v>
      </c>
      <c r="BG25" s="52">
        <f>BG10-BG23</f>
        <v>12763.551983840596</v>
      </c>
      <c r="BH25" s="52">
        <f>BH10-BH23</f>
        <v>12763.551983840596</v>
      </c>
      <c r="BI25" s="52">
        <f>BI10-BI23</f>
        <v>12763.551983840596</v>
      </c>
      <c r="BJ25" s="52">
        <f>BJ10-BJ23</f>
        <v>12763.551983840596</v>
      </c>
      <c r="BK25" s="52">
        <f>BK10-BK23</f>
        <v>12763.551983840596</v>
      </c>
      <c r="BL25" s="52">
        <f>BL10-BL23</f>
        <v>12763.551983840596</v>
      </c>
      <c r="BM25" s="52">
        <f>BM10-BM23</f>
        <v>12763.551983840596</v>
      </c>
      <c r="BN25" s="52">
        <f>BN10-BN23</f>
        <v>12763.551983840596</v>
      </c>
      <c r="BO25" s="52">
        <f>BO10-BO23</f>
        <v>153162.62380608718</v>
      </c>
    </row>
    <row r="26" ht="15" customHeight="1">
      <c r="A26" s="49" t="inlineStr">
        <is>
          <t>EBITDA Margin %</t>
        </is>
      </c>
      <c r="C26" s="54">
        <f>IFERROR(C25/C7,0)</f>
        <v>0.18432195630916762</v>
      </c>
      <c r="D26" s="54">
        <f>IFERROR(D25/D7,0)</f>
        <v>0.18432195630916762</v>
      </c>
      <c r="E26" s="54">
        <f>IFERROR(E25/E7,0)</f>
        <v>0.18432195630916762</v>
      </c>
      <c r="F26" s="54">
        <f>IFERROR(F25/F7,0)</f>
        <v>0.18432195630916762</v>
      </c>
      <c r="G26" s="54">
        <f>IFERROR(G25/G7,0)</f>
        <v>0.18432195630916762</v>
      </c>
      <c r="H26" s="54">
        <f>IFERROR(H25/H7,0)</f>
        <v>0.18432195630916762</v>
      </c>
      <c r="I26" s="54">
        <f>IFERROR(I25/I7,0)</f>
        <v>0.18432195630916762</v>
      </c>
      <c r="J26" s="54">
        <f>IFERROR(J25/J7,0)</f>
        <v>0.18432195630916762</v>
      </c>
      <c r="K26" s="54">
        <f>IFERROR(K25/K7,0)</f>
        <v>0.18432195630916762</v>
      </c>
      <c r="L26" s="54">
        <f>IFERROR(L25/L7,0)</f>
        <v>0.18432195630916762</v>
      </c>
      <c r="M26" s="54">
        <f>IFERROR(M25/M7,0)</f>
        <v>0.18432195630916762</v>
      </c>
      <c r="N26" s="54">
        <f>IFERROR(N25/N7,0)</f>
        <v>0.18432195630916762</v>
      </c>
      <c r="O26" s="54">
        <f>IFERROR(O25/O7,0)</f>
        <v>0.1843219563091677</v>
      </c>
      <c r="P26" s="54">
        <f>IFERROR(P25/P7,0)</f>
        <v>0.1298907553501561</v>
      </c>
      <c r="Q26" s="54">
        <f>IFERROR(Q25/Q7,0)</f>
        <v>0.1298907553501561</v>
      </c>
      <c r="R26" s="54">
        <f>IFERROR(R25/R7,0)</f>
        <v>0.1298907553501561</v>
      </c>
      <c r="S26" s="54">
        <f>IFERROR(S25/S7,0)</f>
        <v>0.1298907553501561</v>
      </c>
      <c r="T26" s="54">
        <f>IFERROR(T25/T7,0)</f>
        <v>0.1298907553501561</v>
      </c>
      <c r="U26" s="54">
        <f>IFERROR(U25/U7,0)</f>
        <v>0.1298907553501561</v>
      </c>
      <c r="V26" s="54">
        <f>IFERROR(V25/V7,0)</f>
        <v>0.1298907553501561</v>
      </c>
      <c r="W26" s="54">
        <f>IFERROR(W25/W7,0)</f>
        <v>0.1298907553501561</v>
      </c>
      <c r="X26" s="54">
        <f>IFERROR(X25/X7,0)</f>
        <v>0.1298907553501561</v>
      </c>
      <c r="Y26" s="54">
        <f>IFERROR(Y25/Y7,0)</f>
        <v>0.1298907553501561</v>
      </c>
      <c r="Z26" s="54">
        <f>IFERROR(Z25/Z7,0)</f>
        <v>0.1298907553501561</v>
      </c>
      <c r="AA26" s="54">
        <f>IFERROR(AA25/AA7,0)</f>
        <v>0.1298907553501561</v>
      </c>
      <c r="AB26" s="54">
        <f>IFERROR(AB25/AB7,0)</f>
        <v>0.12989075535015607</v>
      </c>
      <c r="AC26" s="54">
        <f>IFERROR(AC25/AC7,0)</f>
        <v>0.13026198120398741</v>
      </c>
      <c r="AD26" s="54">
        <f>IFERROR(AD25/AD7,0)</f>
        <v>0.13026198120398741</v>
      </c>
      <c r="AE26" s="54">
        <f>IFERROR(AE25/AE7,0)</f>
        <v>0.13026198120398741</v>
      </c>
      <c r="AF26" s="54">
        <f>IFERROR(AF25/AF7,0)</f>
        <v>0.13026198120398741</v>
      </c>
      <c r="AG26" s="54">
        <f>IFERROR(AG25/AG7,0)</f>
        <v>0.13026198120398741</v>
      </c>
      <c r="AH26" s="54">
        <f>IFERROR(AH25/AH7,0)</f>
        <v>0.13026198120398741</v>
      </c>
      <c r="AI26" s="54">
        <f>IFERROR(AI25/AI7,0)</f>
        <v>0.13026198120398741</v>
      </c>
      <c r="AJ26" s="54">
        <f>IFERROR(AJ25/AJ7,0)</f>
        <v>0.13026198120398741</v>
      </c>
      <c r="AK26" s="54">
        <f>IFERROR(AK25/AK7,0)</f>
        <v>0.13026198120398741</v>
      </c>
      <c r="AL26" s="54">
        <f>IFERROR(AL25/AL7,0)</f>
        <v>0.13026198120398741</v>
      </c>
      <c r="AM26" s="54">
        <f>IFERROR(AM25/AM7,0)</f>
        <v>0.13026198120398741</v>
      </c>
      <c r="AN26" s="54">
        <f>IFERROR(AN25/AN7,0)</f>
        <v>0.13026198120398741</v>
      </c>
      <c r="AO26" s="54">
        <f>IFERROR(AO25/AO7,0)</f>
        <v>0.13026198120398727</v>
      </c>
      <c r="AP26" s="54">
        <f>IFERROR(AP25/AP7,0)</f>
        <v>0.13042775425717454</v>
      </c>
      <c r="AQ26" s="54">
        <f>IFERROR(AQ25/AQ7,0)</f>
        <v>0.13042775425717454</v>
      </c>
      <c r="AR26" s="54">
        <f>IFERROR(AR25/AR7,0)</f>
        <v>0.13042775425717454</v>
      </c>
      <c r="AS26" s="54">
        <f>IFERROR(AS25/AS7,0)</f>
        <v>0.13042775425717454</v>
      </c>
      <c r="AT26" s="54">
        <f>IFERROR(AT25/AT7,0)</f>
        <v>0.13042775425717454</v>
      </c>
      <c r="AU26" s="54">
        <f>IFERROR(AU25/AU7,0)</f>
        <v>0.13042775425717454</v>
      </c>
      <c r="AV26" s="54">
        <f>IFERROR(AV25/AV7,0)</f>
        <v>0.13042775425717454</v>
      </c>
      <c r="AW26" s="54">
        <f>IFERROR(AW25/AW7,0)</f>
        <v>0.13042775425717454</v>
      </c>
      <c r="AX26" s="54">
        <f>IFERROR(AX25/AX7,0)</f>
        <v>0.13042775425717454</v>
      </c>
      <c r="AY26" s="54">
        <f>IFERROR(AY25/AY7,0)</f>
        <v>0.13042775425717454</v>
      </c>
      <c r="AZ26" s="54">
        <f>IFERROR(AZ25/AZ7,0)</f>
        <v>0.13042775425717454</v>
      </c>
      <c r="BA26" s="54">
        <f>IFERROR(BA25/BA7,0)</f>
        <v>0.13042775425717454</v>
      </c>
      <c r="BB26" s="54">
        <f>IFERROR(BB25/BB7,0)</f>
        <v>0.13042775425717448</v>
      </c>
      <c r="BC26" s="54">
        <f>IFERROR(BC25/BC7,0)</f>
        <v>0.13037975401782928</v>
      </c>
      <c r="BD26" s="54">
        <f>IFERROR(BD25/BD7,0)</f>
        <v>0.13037975401782928</v>
      </c>
      <c r="BE26" s="54">
        <f>IFERROR(BE25/BE7,0)</f>
        <v>0.13037975401782928</v>
      </c>
      <c r="BF26" s="54">
        <f>IFERROR(BF25/BF7,0)</f>
        <v>0.13037975401782928</v>
      </c>
      <c r="BG26" s="54">
        <f>IFERROR(BG25/BG7,0)</f>
        <v>0.13037975401782928</v>
      </c>
      <c r="BH26" s="54">
        <f>IFERROR(BH25/BH7,0)</f>
        <v>0.13037975401782928</v>
      </c>
      <c r="BI26" s="54">
        <f>IFERROR(BI25/BI7,0)</f>
        <v>0.13037975401782928</v>
      </c>
      <c r="BJ26" s="54">
        <f>IFERROR(BJ25/BJ7,0)</f>
        <v>0.13037975401782928</v>
      </c>
      <c r="BK26" s="54">
        <f>IFERROR(BK25/BK7,0)</f>
        <v>0.13037975401782928</v>
      </c>
      <c r="BL26" s="54">
        <f>IFERROR(BL25/BL7,0)</f>
        <v>0.13037975401782928</v>
      </c>
      <c r="BM26" s="54">
        <f>IFERROR(BM25/BM7,0)</f>
        <v>0.13037975401782928</v>
      </c>
      <c r="BN26" s="54">
        <f>IFERROR(BN25/BN7,0)</f>
        <v>0.13037975401782928</v>
      </c>
      <c r="BO26" s="54">
        <f>IFERROR(BO25/BO7,0)</f>
        <v>0.13037975401782931</v>
      </c>
    </row>
    <row r="27" ht="15" customHeight="1">
      <c r="A27" s="49" t="inlineStr">
        <is>
          <t>Depreciation &amp; Amortization</t>
        </is>
      </c>
      <c r="C27" s="50">
        <f>$O27/12</f>
        <v>3000</v>
      </c>
      <c r="D27" s="50">
        <f>$O27/12</f>
        <v>3000</v>
      </c>
      <c r="E27" s="50">
        <f>$O27/12</f>
        <v>3000</v>
      </c>
      <c r="F27" s="50">
        <f>$O27/12</f>
        <v>3000</v>
      </c>
      <c r="G27" s="50">
        <f>$O27/12</f>
        <v>3000</v>
      </c>
      <c r="H27" s="50">
        <f>$O27/12</f>
        <v>3000</v>
      </c>
      <c r="I27" s="50">
        <f>$O27/12</f>
        <v>3000</v>
      </c>
      <c r="J27" s="50">
        <f>$O27/12</f>
        <v>3000</v>
      </c>
      <c r="K27" s="50">
        <f>$O27/12</f>
        <v>3000</v>
      </c>
      <c r="L27" s="50">
        <f>$O27/12</f>
        <v>3000</v>
      </c>
      <c r="M27" s="50">
        <f>$O27/12</f>
        <v>3000</v>
      </c>
      <c r="N27" s="50">
        <f>$O27/12</f>
        <v>3000</v>
      </c>
      <c r="O27" s="50">
        <f>Assumptions!E100</f>
        <v>36000</v>
      </c>
      <c r="P27" s="50">
        <f>$AB27/12</f>
        <v>3000</v>
      </c>
      <c r="Q27" s="50">
        <f>$AB27/12</f>
        <v>3000</v>
      </c>
      <c r="R27" s="50">
        <f>$AB27/12</f>
        <v>3000</v>
      </c>
      <c r="S27" s="50">
        <f>$AB27/12</f>
        <v>3000</v>
      </c>
      <c r="T27" s="50">
        <f>$AB27/12</f>
        <v>3000</v>
      </c>
      <c r="U27" s="50">
        <f>$AB27/12</f>
        <v>3000</v>
      </c>
      <c r="V27" s="50">
        <f>$AB27/12</f>
        <v>3000</v>
      </c>
      <c r="W27" s="50">
        <f>$AB27/12</f>
        <v>3000</v>
      </c>
      <c r="X27" s="50">
        <f>$AB27/12</f>
        <v>3000</v>
      </c>
      <c r="Y27" s="50">
        <f>$AB27/12</f>
        <v>3000</v>
      </c>
      <c r="Z27" s="50">
        <f>$AB27/12</f>
        <v>3000</v>
      </c>
      <c r="AA27" s="50">
        <f>$AB27/12</f>
        <v>3000</v>
      </c>
      <c r="AB27" s="50">
        <f>Assumptions!E100</f>
        <v>36000</v>
      </c>
      <c r="AC27" s="50">
        <f>$AO27/12</f>
        <v>3000</v>
      </c>
      <c r="AD27" s="50">
        <f>$AO27/12</f>
        <v>3000</v>
      </c>
      <c r="AE27" s="50">
        <f>$AO27/12</f>
        <v>3000</v>
      </c>
      <c r="AF27" s="50">
        <f>$AO27/12</f>
        <v>3000</v>
      </c>
      <c r="AG27" s="50">
        <f>$AO27/12</f>
        <v>3000</v>
      </c>
      <c r="AH27" s="50">
        <f>$AO27/12</f>
        <v>3000</v>
      </c>
      <c r="AI27" s="50">
        <f>$AO27/12</f>
        <v>3000</v>
      </c>
      <c r="AJ27" s="50">
        <f>$AO27/12</f>
        <v>3000</v>
      </c>
      <c r="AK27" s="50">
        <f>$AO27/12</f>
        <v>3000</v>
      </c>
      <c r="AL27" s="50">
        <f>$AO27/12</f>
        <v>3000</v>
      </c>
      <c r="AM27" s="50">
        <f>$AO27/12</f>
        <v>3000</v>
      </c>
      <c r="AN27" s="50">
        <f>$AO27/12</f>
        <v>3000</v>
      </c>
      <c r="AO27" s="50">
        <f>Assumptions!E100</f>
        <v>36000</v>
      </c>
      <c r="AP27" s="50">
        <f>$BB27/12</f>
        <v>3000</v>
      </c>
      <c r="AQ27" s="50">
        <f>$BB27/12</f>
        <v>3000</v>
      </c>
      <c r="AR27" s="50">
        <f>$BB27/12</f>
        <v>3000</v>
      </c>
      <c r="AS27" s="50">
        <f>$BB27/12</f>
        <v>3000</v>
      </c>
      <c r="AT27" s="50">
        <f>$BB27/12</f>
        <v>3000</v>
      </c>
      <c r="AU27" s="50">
        <f>$BB27/12</f>
        <v>3000</v>
      </c>
      <c r="AV27" s="50">
        <f>$BB27/12</f>
        <v>3000</v>
      </c>
      <c r="AW27" s="50">
        <f>$BB27/12</f>
        <v>3000</v>
      </c>
      <c r="AX27" s="50">
        <f>$BB27/12</f>
        <v>3000</v>
      </c>
      <c r="AY27" s="50">
        <f>$BB27/12</f>
        <v>3000</v>
      </c>
      <c r="AZ27" s="50">
        <f>$BB27/12</f>
        <v>3000</v>
      </c>
      <c r="BA27" s="50">
        <f>$BB27/12</f>
        <v>3000</v>
      </c>
      <c r="BB27" s="50">
        <f>Assumptions!E100</f>
        <v>36000</v>
      </c>
      <c r="BC27" s="50">
        <f>$BO27/12</f>
        <v>3000</v>
      </c>
      <c r="BD27" s="50">
        <f>$BO27/12</f>
        <v>3000</v>
      </c>
      <c r="BE27" s="50">
        <f>$BO27/12</f>
        <v>3000</v>
      </c>
      <c r="BF27" s="50">
        <f>$BO27/12</f>
        <v>3000</v>
      </c>
      <c r="BG27" s="50">
        <f>$BO27/12</f>
        <v>3000</v>
      </c>
      <c r="BH27" s="50">
        <f>$BO27/12</f>
        <v>3000</v>
      </c>
      <c r="BI27" s="50">
        <f>$BO27/12</f>
        <v>3000</v>
      </c>
      <c r="BJ27" s="50">
        <f>$BO27/12</f>
        <v>3000</v>
      </c>
      <c r="BK27" s="50">
        <f>$BO27/12</f>
        <v>3000</v>
      </c>
      <c r="BL27" s="50">
        <f>$BO27/12</f>
        <v>3000</v>
      </c>
      <c r="BM27" s="50">
        <f>$BO27/12</f>
        <v>3000</v>
      </c>
      <c r="BN27" s="50">
        <f>$BO27/12</f>
        <v>3000</v>
      </c>
      <c r="BO27" s="50">
        <f>Assumptions!E100</f>
        <v>36000</v>
      </c>
    </row>
    <row r="28" ht="15" customHeight="1">
      <c r="A28" s="60" t="inlineStr">
        <is>
          <t>EBIT (Operating Income)</t>
        </is>
      </c>
      <c r="B28" s="53" t="n"/>
      <c r="C28" s="52">
        <f>C25-C27</f>
        <v>12131.19762654166</v>
      </c>
      <c r="D28" s="52">
        <f>D25-D27</f>
        <v>12131.19762654166</v>
      </c>
      <c r="E28" s="52">
        <f>E25-E27</f>
        <v>12131.19762654166</v>
      </c>
      <c r="F28" s="52">
        <f>F25-F27</f>
        <v>12131.19762654166</v>
      </c>
      <c r="G28" s="52">
        <f>G25-G27</f>
        <v>12131.19762654166</v>
      </c>
      <c r="H28" s="52">
        <f>H25-H27</f>
        <v>12131.19762654166</v>
      </c>
      <c r="I28" s="52">
        <f>I25-I27</f>
        <v>12131.19762654166</v>
      </c>
      <c r="J28" s="52">
        <f>J25-J27</f>
        <v>12131.19762654166</v>
      </c>
      <c r="K28" s="52">
        <f>K25-K27</f>
        <v>12131.19762654166</v>
      </c>
      <c r="L28" s="52">
        <f>L25-L27</f>
        <v>12131.19762654166</v>
      </c>
      <c r="M28" s="52">
        <f>M25-M27</f>
        <v>12131.19762654166</v>
      </c>
      <c r="N28" s="52">
        <f>N25-N27</f>
        <v>12131.19762654166</v>
      </c>
      <c r="O28" s="52">
        <f>O25-O27</f>
        <v>145574.37151849997</v>
      </c>
      <c r="P28" s="52">
        <f>P25-P27</f>
        <v>8142.7083956666538</v>
      </c>
      <c r="Q28" s="52">
        <f>Q25-Q27</f>
        <v>8142.7083956666538</v>
      </c>
      <c r="R28" s="52">
        <f>R25-R27</f>
        <v>8142.7083956666538</v>
      </c>
      <c r="S28" s="52">
        <f>S25-S27</f>
        <v>8142.7083956666538</v>
      </c>
      <c r="T28" s="52">
        <f>T25-T27</f>
        <v>8142.7083956666538</v>
      </c>
      <c r="U28" s="52">
        <f>U25-U27</f>
        <v>8142.7083956666538</v>
      </c>
      <c r="V28" s="52">
        <f>V25-V27</f>
        <v>8142.7083956666538</v>
      </c>
      <c r="W28" s="52">
        <f>W25-W27</f>
        <v>8142.7083956666538</v>
      </c>
      <c r="X28" s="52">
        <f>X25-X27</f>
        <v>8142.7083956666538</v>
      </c>
      <c r="Y28" s="52">
        <f>Y25-Y27</f>
        <v>8142.7083956666538</v>
      </c>
      <c r="Z28" s="52">
        <f>Z25-Z27</f>
        <v>8142.7083956666538</v>
      </c>
      <c r="AA28" s="52">
        <f>AA25-AA27</f>
        <v>8142.7083956666538</v>
      </c>
      <c r="AB28" s="52">
        <f>AB25-AB27</f>
        <v>97712.500747999817</v>
      </c>
      <c r="AC28" s="52">
        <f>AC25-AC27</f>
        <v>8677.4090252291571</v>
      </c>
      <c r="AD28" s="52">
        <f>AD25-AD27</f>
        <v>8677.4090252291571</v>
      </c>
      <c r="AE28" s="52">
        <f>AE25-AE27</f>
        <v>8677.4090252291571</v>
      </c>
      <c r="AF28" s="52">
        <f>AF25-AF27</f>
        <v>8677.4090252291571</v>
      </c>
      <c r="AG28" s="52">
        <f>AG25-AG27</f>
        <v>8677.4090252291571</v>
      </c>
      <c r="AH28" s="52">
        <f>AH25-AH27</f>
        <v>8677.4090252291571</v>
      </c>
      <c r="AI28" s="52">
        <f>AI25-AI27</f>
        <v>8677.4090252291571</v>
      </c>
      <c r="AJ28" s="52">
        <f>AJ25-AJ27</f>
        <v>8677.4090252291571</v>
      </c>
      <c r="AK28" s="52">
        <f>AK25-AK27</f>
        <v>8677.4090252291571</v>
      </c>
      <c r="AL28" s="52">
        <f>AL25-AL27</f>
        <v>8677.4090252291571</v>
      </c>
      <c r="AM28" s="52">
        <f>AM25-AM27</f>
        <v>8677.4090252291571</v>
      </c>
      <c r="AN28" s="52">
        <f>AN25-AN27</f>
        <v>8677.4090252291571</v>
      </c>
      <c r="AO28" s="52">
        <f>AO25-AO27</f>
        <v>104128.90830274974</v>
      </c>
      <c r="AP28" s="52">
        <f>AP25-AP27</f>
        <v>9218.4219873973489</v>
      </c>
      <c r="AQ28" s="52">
        <f>AQ25-AQ27</f>
        <v>9218.4219873973489</v>
      </c>
      <c r="AR28" s="52">
        <f>AR25-AR27</f>
        <v>9218.4219873973489</v>
      </c>
      <c r="AS28" s="52">
        <f>AS25-AS27</f>
        <v>9218.4219873973489</v>
      </c>
      <c r="AT28" s="52">
        <f>AT25-AT27</f>
        <v>9218.4219873973489</v>
      </c>
      <c r="AU28" s="52">
        <f>AU25-AU27</f>
        <v>9218.4219873973489</v>
      </c>
      <c r="AV28" s="52">
        <f>AV25-AV27</f>
        <v>9218.4219873973489</v>
      </c>
      <c r="AW28" s="52">
        <f>AW25-AW27</f>
        <v>9218.4219873973489</v>
      </c>
      <c r="AX28" s="52">
        <f>AX25-AX27</f>
        <v>9218.4219873973489</v>
      </c>
      <c r="AY28" s="52">
        <f>AY25-AY27</f>
        <v>9218.4219873973489</v>
      </c>
      <c r="AZ28" s="52">
        <f>AZ25-AZ27</f>
        <v>9218.4219873973489</v>
      </c>
      <c r="BA28" s="52">
        <f>BA25-BA27</f>
        <v>9218.4219873973489</v>
      </c>
      <c r="BB28" s="52">
        <f>BB25-BB27</f>
        <v>110621.06384876813</v>
      </c>
      <c r="BC28" s="52">
        <f>BC25-BC27</f>
        <v>9763.5519838405962</v>
      </c>
      <c r="BD28" s="52">
        <f>BD25-BD27</f>
        <v>9763.5519838405962</v>
      </c>
      <c r="BE28" s="52">
        <f>BE25-BE27</f>
        <v>9763.5519838405962</v>
      </c>
      <c r="BF28" s="52">
        <f>BF25-BF27</f>
        <v>9763.5519838405962</v>
      </c>
      <c r="BG28" s="52">
        <f>BG25-BG27</f>
        <v>9763.5519838405962</v>
      </c>
      <c r="BH28" s="52">
        <f>BH25-BH27</f>
        <v>9763.5519838405962</v>
      </c>
      <c r="BI28" s="52">
        <f>BI25-BI27</f>
        <v>9763.5519838405962</v>
      </c>
      <c r="BJ28" s="52">
        <f>BJ25-BJ27</f>
        <v>9763.5519838405962</v>
      </c>
      <c r="BK28" s="52">
        <f>BK25-BK27</f>
        <v>9763.5519838405962</v>
      </c>
      <c r="BL28" s="52">
        <f>BL25-BL27</f>
        <v>9763.5519838405962</v>
      </c>
      <c r="BM28" s="52">
        <f>BM25-BM27</f>
        <v>9763.5519838405962</v>
      </c>
      <c r="BN28" s="52">
        <f>BN25-BN27</f>
        <v>9763.5519838405962</v>
      </c>
      <c r="BO28" s="52">
        <f>BO25-BO27</f>
        <v>117162.62380608718</v>
      </c>
    </row>
    <row r="29" ht="15" customHeight="1">
      <c r="A29" s="49" t="inlineStr">
        <is>
          <t>EBIT Margin %</t>
        </is>
      </c>
      <c r="C29" s="54">
        <f>IFERROR(C28/C7,0)</f>
        <v>0.14777720403142694</v>
      </c>
      <c r="D29" s="54">
        <f>IFERROR(D28/D7,0)</f>
        <v>0.14777720403142694</v>
      </c>
      <c r="E29" s="54">
        <f>IFERROR(E28/E7,0)</f>
        <v>0.14777720403142694</v>
      </c>
      <c r="F29" s="54">
        <f>IFERROR(F28/F7,0)</f>
        <v>0.14777720403142694</v>
      </c>
      <c r="G29" s="54">
        <f>IFERROR(G28/G7,0)</f>
        <v>0.14777720403142694</v>
      </c>
      <c r="H29" s="54">
        <f>IFERROR(H28/H7,0)</f>
        <v>0.14777720403142694</v>
      </c>
      <c r="I29" s="54">
        <f>IFERROR(I28/I7,0)</f>
        <v>0.14777720403142694</v>
      </c>
      <c r="J29" s="54">
        <f>IFERROR(J28/J7,0)</f>
        <v>0.14777720403142694</v>
      </c>
      <c r="K29" s="54">
        <f>IFERROR(K28/K7,0)</f>
        <v>0.14777720403142694</v>
      </c>
      <c r="L29" s="54">
        <f>IFERROR(L28/L7,0)</f>
        <v>0.14777720403142694</v>
      </c>
      <c r="M29" s="54">
        <f>IFERROR(M28/M7,0)</f>
        <v>0.14777720403142694</v>
      </c>
      <c r="N29" s="54">
        <f>IFERROR(N28/N7,0)</f>
        <v>0.14777720403142694</v>
      </c>
      <c r="O29" s="54">
        <f>IFERROR(O28/O7,0)</f>
        <v>0.147777204031427</v>
      </c>
      <c r="P29" s="54">
        <f>IFERROR(P28/P7,0)</f>
        <v>0.094919700538920973</v>
      </c>
      <c r="Q29" s="54">
        <f>IFERROR(Q28/Q7,0)</f>
        <v>0.094919700538920973</v>
      </c>
      <c r="R29" s="54">
        <f>IFERROR(R28/R7,0)</f>
        <v>0.094919700538920973</v>
      </c>
      <c r="S29" s="54">
        <f>IFERROR(S28/S7,0)</f>
        <v>0.094919700538920973</v>
      </c>
      <c r="T29" s="54">
        <f>IFERROR(T28/T7,0)</f>
        <v>0.094919700538920973</v>
      </c>
      <c r="U29" s="54">
        <f>IFERROR(U28/U7,0)</f>
        <v>0.094919700538920973</v>
      </c>
      <c r="V29" s="54">
        <f>IFERROR(V28/V7,0)</f>
        <v>0.094919700538920973</v>
      </c>
      <c r="W29" s="54">
        <f>IFERROR(W28/W7,0)</f>
        <v>0.094919700538920973</v>
      </c>
      <c r="X29" s="54">
        <f>IFERROR(X28/X7,0)</f>
        <v>0.094919700538920973</v>
      </c>
      <c r="Y29" s="54">
        <f>IFERROR(Y28/Y7,0)</f>
        <v>0.094919700538920973</v>
      </c>
      <c r="Z29" s="54">
        <f>IFERROR(Z28/Z7,0)</f>
        <v>0.094919700538920973</v>
      </c>
      <c r="AA29" s="54">
        <f>IFERROR(AA28/AA7,0)</f>
        <v>0.094919700538920973</v>
      </c>
      <c r="AB29" s="54">
        <f>IFERROR(AB28/AB7,0)</f>
        <v>0.094919700538920945</v>
      </c>
      <c r="AC29" s="54">
        <f>IFERROR(AC28/AC7,0)</f>
        <v>0.096796856982709775</v>
      </c>
      <c r="AD29" s="54">
        <f>IFERROR(AD28/AD7,0)</f>
        <v>0.096796856982709775</v>
      </c>
      <c r="AE29" s="54">
        <f>IFERROR(AE28/AE7,0)</f>
        <v>0.096796856982709775</v>
      </c>
      <c r="AF29" s="54">
        <f>IFERROR(AF28/AF7,0)</f>
        <v>0.096796856982709775</v>
      </c>
      <c r="AG29" s="54">
        <f>IFERROR(AG28/AG7,0)</f>
        <v>0.096796856982709775</v>
      </c>
      <c r="AH29" s="54">
        <f>IFERROR(AH28/AH7,0)</f>
        <v>0.096796856982709775</v>
      </c>
      <c r="AI29" s="54">
        <f>IFERROR(AI28/AI7,0)</f>
        <v>0.096796856982709775</v>
      </c>
      <c r="AJ29" s="54">
        <f>IFERROR(AJ28/AJ7,0)</f>
        <v>0.096796856982709775</v>
      </c>
      <c r="AK29" s="54">
        <f>IFERROR(AK28/AK7,0)</f>
        <v>0.096796856982709775</v>
      </c>
      <c r="AL29" s="54">
        <f>IFERROR(AL28/AL7,0)</f>
        <v>0.096796856982709775</v>
      </c>
      <c r="AM29" s="54">
        <f>IFERROR(AM28/AM7,0)</f>
        <v>0.096796856982709775</v>
      </c>
      <c r="AN29" s="54">
        <f>IFERROR(AN28/AN7,0)</f>
        <v>0.096796856982709775</v>
      </c>
      <c r="AO29" s="54">
        <f>IFERROR(AO28/AO7,0)</f>
        <v>0.096796856982709636</v>
      </c>
      <c r="AP29" s="54">
        <f>IFERROR(AP28/AP7,0)</f>
        <v>0.098403711940162453</v>
      </c>
      <c r="AQ29" s="54">
        <f>IFERROR(AQ28/AQ7,0)</f>
        <v>0.098403711940162453</v>
      </c>
      <c r="AR29" s="54">
        <f>IFERROR(AR28/AR7,0)</f>
        <v>0.098403711940162453</v>
      </c>
      <c r="AS29" s="54">
        <f>IFERROR(AS28/AS7,0)</f>
        <v>0.098403711940162453</v>
      </c>
      <c r="AT29" s="54">
        <f>IFERROR(AT28/AT7,0)</f>
        <v>0.098403711940162453</v>
      </c>
      <c r="AU29" s="54">
        <f>IFERROR(AU28/AU7,0)</f>
        <v>0.098403711940162453</v>
      </c>
      <c r="AV29" s="54">
        <f>IFERROR(AV28/AV7,0)</f>
        <v>0.098403711940162453</v>
      </c>
      <c r="AW29" s="54">
        <f>IFERROR(AW28/AW7,0)</f>
        <v>0.098403711940162453</v>
      </c>
      <c r="AX29" s="54">
        <f>IFERROR(AX28/AX7,0)</f>
        <v>0.098403711940162453</v>
      </c>
      <c r="AY29" s="54">
        <f>IFERROR(AY28/AY7,0)</f>
        <v>0.098403711940162453</v>
      </c>
      <c r="AZ29" s="54">
        <f>IFERROR(AZ28/AZ7,0)</f>
        <v>0.098403711940162453</v>
      </c>
      <c r="BA29" s="54">
        <f>IFERROR(BA28/BA7,0)</f>
        <v>0.098403711940162453</v>
      </c>
      <c r="BB29" s="54">
        <f>IFERROR(BB28/BB7,0)</f>
        <v>0.098403711940162397</v>
      </c>
      <c r="BC29" s="54">
        <f>IFERROR(BC28/BC7,0)</f>
        <v>0.099734737446525848</v>
      </c>
      <c r="BD29" s="54">
        <f>IFERROR(BD28/BD7,0)</f>
        <v>0.099734737446525848</v>
      </c>
      <c r="BE29" s="54">
        <f>IFERROR(BE28/BE7,0)</f>
        <v>0.099734737446525848</v>
      </c>
      <c r="BF29" s="54">
        <f>IFERROR(BF28/BF7,0)</f>
        <v>0.099734737446525848</v>
      </c>
      <c r="BG29" s="54">
        <f>IFERROR(BG28/BG7,0)</f>
        <v>0.099734737446525848</v>
      </c>
      <c r="BH29" s="54">
        <f>IFERROR(BH28/BH7,0)</f>
        <v>0.099734737446525848</v>
      </c>
      <c r="BI29" s="54">
        <f>IFERROR(BI28/BI7,0)</f>
        <v>0.099734737446525848</v>
      </c>
      <c r="BJ29" s="54">
        <f>IFERROR(BJ28/BJ7,0)</f>
        <v>0.099734737446525848</v>
      </c>
      <c r="BK29" s="54">
        <f>IFERROR(BK28/BK7,0)</f>
        <v>0.099734737446525848</v>
      </c>
      <c r="BL29" s="54">
        <f>IFERROR(BL28/BL7,0)</f>
        <v>0.099734737446525848</v>
      </c>
      <c r="BM29" s="54">
        <f>IFERROR(BM28/BM7,0)</f>
        <v>0.099734737446525848</v>
      </c>
      <c r="BN29" s="54">
        <f>IFERROR(BN28/BN7,0)</f>
        <v>0.099734737446525848</v>
      </c>
      <c r="BO29" s="54">
        <f>IFERROR(BO28/BO7,0)</f>
        <v>0.09973473744652589</v>
      </c>
    </row>
    <row r="30"/>
    <row r="31" ht="15" customHeight="1">
      <c r="A31" s="49" t="inlineStr">
        <is>
          <t>Interest Expense — Senior SBA Loan</t>
        </is>
      </c>
      <c r="C31" s="50">
        <f>$O31/12</f>
        <v>4512.497625</v>
      </c>
      <c r="D31" s="50">
        <f>$O31/12</f>
        <v>4512.497625</v>
      </c>
      <c r="E31" s="50">
        <f>$O31/12</f>
        <v>4512.497625</v>
      </c>
      <c r="F31" s="50">
        <f>$O31/12</f>
        <v>4512.497625</v>
      </c>
      <c r="G31" s="50">
        <f>$O31/12</f>
        <v>4512.497625</v>
      </c>
      <c r="H31" s="50">
        <f>$O31/12</f>
        <v>4512.497625</v>
      </c>
      <c r="I31" s="50">
        <f>$O31/12</f>
        <v>4512.497625</v>
      </c>
      <c r="J31" s="50">
        <f>$O31/12</f>
        <v>4512.497625</v>
      </c>
      <c r="K31" s="50">
        <f>$O31/12</f>
        <v>4512.497625</v>
      </c>
      <c r="L31" s="50">
        <f>$O31/12</f>
        <v>4512.497625</v>
      </c>
      <c r="M31" s="50">
        <f>$O31/12</f>
        <v>4512.497625</v>
      </c>
      <c r="N31" s="50">
        <f>$O31/12</f>
        <v>4512.497625</v>
      </c>
      <c r="O31" s="50">
        <f>(Assumptions!E32)*Assumptions!E30</f>
        <v>54149.9715</v>
      </c>
      <c r="P31" s="50">
        <f>$AB31/12</f>
        <v>4222.4967682496726</v>
      </c>
      <c r="Q31" s="50">
        <f>$AB31/12</f>
        <v>4222.4967682496726</v>
      </c>
      <c r="R31" s="50">
        <f>$AB31/12</f>
        <v>4222.4967682496726</v>
      </c>
      <c r="S31" s="50">
        <f>$AB31/12</f>
        <v>4222.4967682496726</v>
      </c>
      <c r="T31" s="50">
        <f>$AB31/12</f>
        <v>4222.4967682496726</v>
      </c>
      <c r="U31" s="50">
        <f>$AB31/12</f>
        <v>4222.4967682496726</v>
      </c>
      <c r="V31" s="50">
        <f>$AB31/12</f>
        <v>4222.4967682496726</v>
      </c>
      <c r="W31" s="50">
        <f>$AB31/12</f>
        <v>4222.4967682496726</v>
      </c>
      <c r="X31" s="50">
        <f>$AB31/12</f>
        <v>4222.4967682496726</v>
      </c>
      <c r="Y31" s="50">
        <f>$AB31/12</f>
        <v>4222.4967682496726</v>
      </c>
      <c r="Z31" s="50">
        <f>$AB31/12</f>
        <v>4222.4967682496726</v>
      </c>
      <c r="AA31" s="50">
        <f>$AB31/12</f>
        <v>4222.4967682496726</v>
      </c>
      <c r="AB31" s="50">
        <f>(IFERROR(Assumptions!E32*(1+Assumptions!E30)^1-(PMT(Assumptions!E30,Assumptions!E31,-Assumptions!E32))*(((1+Assumptions!E30)^1-1)/Assumptions!E30),Assumptions!E32))*Assumptions!E30</f>
        <v>50669.961218996068</v>
      </c>
      <c r="AC31" s="50">
        <f>$AO31/12</f>
        <v>3904.9458301080626</v>
      </c>
      <c r="AD31" s="50">
        <f>$AO31/12</f>
        <v>3904.9458301080626</v>
      </c>
      <c r="AE31" s="50">
        <f>$AO31/12</f>
        <v>3904.9458301080626</v>
      </c>
      <c r="AF31" s="50">
        <f>$AO31/12</f>
        <v>3904.9458301080626</v>
      </c>
      <c r="AG31" s="50">
        <f>$AO31/12</f>
        <v>3904.9458301080626</v>
      </c>
      <c r="AH31" s="50">
        <f>$AO31/12</f>
        <v>3904.9458301080626</v>
      </c>
      <c r="AI31" s="50">
        <f>$AO31/12</f>
        <v>3904.9458301080626</v>
      </c>
      <c r="AJ31" s="50">
        <f>$AO31/12</f>
        <v>3904.9458301080626</v>
      </c>
      <c r="AK31" s="50">
        <f>$AO31/12</f>
        <v>3904.9458301080626</v>
      </c>
      <c r="AL31" s="50">
        <f>$AO31/12</f>
        <v>3904.9458301080626</v>
      </c>
      <c r="AM31" s="50">
        <f>$AO31/12</f>
        <v>3904.9458301080626</v>
      </c>
      <c r="AN31" s="50">
        <f>$AO31/12</f>
        <v>3904.9458301080626</v>
      </c>
      <c r="AO31" s="50">
        <f>(IFERROR(Assumptions!E32*(1+Assumptions!E30)^2-(PMT(Assumptions!E30,Assumptions!E31,-Assumptions!E32))*(((1+Assumptions!E30)^2-1)/Assumptions!E30),Assumptions!E32))*Assumptions!E30</f>
        <v>46859.34996129675</v>
      </c>
      <c r="AP31" s="50">
        <f>$BB31/12</f>
        <v>3557.2275528430005</v>
      </c>
      <c r="AQ31" s="50">
        <f>$BB31/12</f>
        <v>3557.2275528430005</v>
      </c>
      <c r="AR31" s="50">
        <f>$BB31/12</f>
        <v>3557.2275528430005</v>
      </c>
      <c r="AS31" s="50">
        <f>$BB31/12</f>
        <v>3557.2275528430005</v>
      </c>
      <c r="AT31" s="50">
        <f>$BB31/12</f>
        <v>3557.2275528430005</v>
      </c>
      <c r="AU31" s="50">
        <f>$BB31/12</f>
        <v>3557.2275528430005</v>
      </c>
      <c r="AV31" s="50">
        <f>$BB31/12</f>
        <v>3557.2275528430005</v>
      </c>
      <c r="AW31" s="50">
        <f>$BB31/12</f>
        <v>3557.2275528430005</v>
      </c>
      <c r="AX31" s="50">
        <f>$BB31/12</f>
        <v>3557.2275528430005</v>
      </c>
      <c r="AY31" s="50">
        <f>$BB31/12</f>
        <v>3557.2275528430005</v>
      </c>
      <c r="AZ31" s="50">
        <f>$BB31/12</f>
        <v>3557.2275528430005</v>
      </c>
      <c r="BA31" s="50">
        <f>$BB31/12</f>
        <v>3557.2275528430005</v>
      </c>
      <c r="BB31" s="50">
        <f>(IFERROR(Assumptions!E32*(1+Assumptions!E30)^3-(PMT(Assumptions!E30,Assumptions!E31,-Assumptions!E32))*(((1+Assumptions!E30)^3-1)/Assumptions!E30),Assumptions!E32))*Assumptions!E30</f>
        <v>42686.730634116007</v>
      </c>
      <c r="BC31" s="50">
        <f>$BO31/12</f>
        <v>3176.476039237758</v>
      </c>
      <c r="BD31" s="50">
        <f>$BO31/12</f>
        <v>3176.476039237758</v>
      </c>
      <c r="BE31" s="50">
        <f>$BO31/12</f>
        <v>3176.476039237758</v>
      </c>
      <c r="BF31" s="50">
        <f>$BO31/12</f>
        <v>3176.476039237758</v>
      </c>
      <c r="BG31" s="50">
        <f>$BO31/12</f>
        <v>3176.476039237758</v>
      </c>
      <c r="BH31" s="50">
        <f>$BO31/12</f>
        <v>3176.476039237758</v>
      </c>
      <c r="BI31" s="50">
        <f>$BO31/12</f>
        <v>3176.476039237758</v>
      </c>
      <c r="BJ31" s="50">
        <f>$BO31/12</f>
        <v>3176.476039237758</v>
      </c>
      <c r="BK31" s="50">
        <f>$BO31/12</f>
        <v>3176.476039237758</v>
      </c>
      <c r="BL31" s="50">
        <f>$BO31/12</f>
        <v>3176.476039237758</v>
      </c>
      <c r="BM31" s="50">
        <f>$BO31/12</f>
        <v>3176.476039237758</v>
      </c>
      <c r="BN31" s="50">
        <f>$BO31/12</f>
        <v>3176.476039237758</v>
      </c>
      <c r="BO31" s="50">
        <f>(IFERROR(Assumptions!E32*(1+Assumptions!E30)^4-(PMT(Assumptions!E30,Assumptions!E31,-Assumptions!E32))*(((1+Assumptions!E30)^4-1)/Assumptions!E30),Assumptions!E32))*Assumptions!E30</f>
        <v>38117.712470853097</v>
      </c>
    </row>
    <row r="32" ht="15" customHeight="1">
      <c r="A32" s="49" t="inlineStr">
        <is>
          <t>Interest Expense — Seller Note</t>
        </is>
      </c>
      <c r="C32" s="50">
        <f>$O32/12</f>
        <v>0</v>
      </c>
      <c r="D32" s="50">
        <f>$O32/12</f>
        <v>0</v>
      </c>
      <c r="E32" s="50">
        <f>$O32/12</f>
        <v>0</v>
      </c>
      <c r="F32" s="50">
        <f>$O32/12</f>
        <v>0</v>
      </c>
      <c r="G32" s="50">
        <f>$O32/12</f>
        <v>0</v>
      </c>
      <c r="H32" s="50">
        <f>$O32/12</f>
        <v>0</v>
      </c>
      <c r="I32" s="50">
        <f>$O32/12</f>
        <v>0</v>
      </c>
      <c r="J32" s="50">
        <f>$O32/12</f>
        <v>0</v>
      </c>
      <c r="K32" s="50">
        <f>$O32/12</f>
        <v>0</v>
      </c>
      <c r="L32" s="50">
        <f>$O32/12</f>
        <v>0</v>
      </c>
      <c r="M32" s="50">
        <f>$O32/12</f>
        <v>0</v>
      </c>
      <c r="N32" s="50">
        <f>$O32/12</f>
        <v>0</v>
      </c>
      <c r="O32" s="50">
        <f>(Assumptions!E17)*Assumptions!E18</f>
        <v>0</v>
      </c>
      <c r="P32" s="50">
        <f>$AB32/12</f>
        <v>0</v>
      </c>
      <c r="Q32" s="50">
        <f>$AB32/12</f>
        <v>0</v>
      </c>
      <c r="R32" s="50">
        <f>$AB32/12</f>
        <v>0</v>
      </c>
      <c r="S32" s="50">
        <f>$AB32/12</f>
        <v>0</v>
      </c>
      <c r="T32" s="50">
        <f>$AB32/12</f>
        <v>0</v>
      </c>
      <c r="U32" s="50">
        <f>$AB32/12</f>
        <v>0</v>
      </c>
      <c r="V32" s="50">
        <f>$AB32/12</f>
        <v>0</v>
      </c>
      <c r="W32" s="50">
        <f>$AB32/12</f>
        <v>0</v>
      </c>
      <c r="X32" s="50">
        <f>$AB32/12</f>
        <v>0</v>
      </c>
      <c r="Y32" s="50">
        <f>$AB32/12</f>
        <v>0</v>
      </c>
      <c r="Z32" s="50">
        <f>$AB32/12</f>
        <v>0</v>
      </c>
      <c r="AA32" s="50">
        <f>$AB32/12</f>
        <v>0</v>
      </c>
      <c r="AB32" s="50">
        <f>(IFERROR(Assumptions!E17*(1+Assumptions!E18)^1-(PMT(Assumptions!E18,Assumptions!E19,-Assumptions!E17))*(((1+Assumptions!E18)^1-1)/Assumptions!E18),Assumptions!E17))*Assumptions!E18</f>
        <v>0</v>
      </c>
      <c r="AC32" s="50">
        <f>$AO32/12</f>
        <v>0</v>
      </c>
      <c r="AD32" s="50">
        <f>$AO32/12</f>
        <v>0</v>
      </c>
      <c r="AE32" s="50">
        <f>$AO32/12</f>
        <v>0</v>
      </c>
      <c r="AF32" s="50">
        <f>$AO32/12</f>
        <v>0</v>
      </c>
      <c r="AG32" s="50">
        <f>$AO32/12</f>
        <v>0</v>
      </c>
      <c r="AH32" s="50">
        <f>$AO32/12</f>
        <v>0</v>
      </c>
      <c r="AI32" s="50">
        <f>$AO32/12</f>
        <v>0</v>
      </c>
      <c r="AJ32" s="50">
        <f>$AO32/12</f>
        <v>0</v>
      </c>
      <c r="AK32" s="50">
        <f>$AO32/12</f>
        <v>0</v>
      </c>
      <c r="AL32" s="50">
        <f>$AO32/12</f>
        <v>0</v>
      </c>
      <c r="AM32" s="50">
        <f>$AO32/12</f>
        <v>0</v>
      </c>
      <c r="AN32" s="50">
        <f>$AO32/12</f>
        <v>0</v>
      </c>
      <c r="AO32" s="50">
        <f>(IFERROR(Assumptions!E17*(1+Assumptions!E18)^2-(PMT(Assumptions!E18,Assumptions!E19,-Assumptions!E17))*(((1+Assumptions!E18)^2-1)/Assumptions!E18),Assumptions!E17))*Assumptions!E18</f>
        <v>0</v>
      </c>
      <c r="AP32" s="50">
        <f>$BB32/12</f>
        <v>0</v>
      </c>
      <c r="AQ32" s="50">
        <f>$BB32/12</f>
        <v>0</v>
      </c>
      <c r="AR32" s="50">
        <f>$BB32/12</f>
        <v>0</v>
      </c>
      <c r="AS32" s="50">
        <f>$BB32/12</f>
        <v>0</v>
      </c>
      <c r="AT32" s="50">
        <f>$BB32/12</f>
        <v>0</v>
      </c>
      <c r="AU32" s="50">
        <f>$BB32/12</f>
        <v>0</v>
      </c>
      <c r="AV32" s="50">
        <f>$BB32/12</f>
        <v>0</v>
      </c>
      <c r="AW32" s="50">
        <f>$BB32/12</f>
        <v>0</v>
      </c>
      <c r="AX32" s="50">
        <f>$BB32/12</f>
        <v>0</v>
      </c>
      <c r="AY32" s="50">
        <f>$BB32/12</f>
        <v>0</v>
      </c>
      <c r="AZ32" s="50">
        <f>$BB32/12</f>
        <v>0</v>
      </c>
      <c r="BA32" s="50">
        <f>$BB32/12</f>
        <v>0</v>
      </c>
      <c r="BB32" s="50">
        <f>(IFERROR(Assumptions!E17*(1+Assumptions!E18)^3-(PMT(Assumptions!E18,Assumptions!E19,-Assumptions!E17))*(((1+Assumptions!E18)^3-1)/Assumptions!E18),Assumptions!E17))*Assumptions!E18</f>
        <v>0</v>
      </c>
      <c r="BC32" s="50">
        <f>$BO32/12</f>
        <v>0</v>
      </c>
      <c r="BD32" s="50">
        <f>$BO32/12</f>
        <v>0</v>
      </c>
      <c r="BE32" s="50">
        <f>$BO32/12</f>
        <v>0</v>
      </c>
      <c r="BF32" s="50">
        <f>$BO32/12</f>
        <v>0</v>
      </c>
      <c r="BG32" s="50">
        <f>$BO32/12</f>
        <v>0</v>
      </c>
      <c r="BH32" s="50">
        <f>$BO32/12</f>
        <v>0</v>
      </c>
      <c r="BI32" s="50">
        <f>$BO32/12</f>
        <v>0</v>
      </c>
      <c r="BJ32" s="50">
        <f>$BO32/12</f>
        <v>0</v>
      </c>
      <c r="BK32" s="50">
        <f>$BO32/12</f>
        <v>0</v>
      </c>
      <c r="BL32" s="50">
        <f>$BO32/12</f>
        <v>0</v>
      </c>
      <c r="BM32" s="50">
        <f>$BO32/12</f>
        <v>0</v>
      </c>
      <c r="BN32" s="50">
        <f>$BO32/12</f>
        <v>0</v>
      </c>
      <c r="BO32" s="50">
        <f>(IFERROR(Assumptions!E17*(1+Assumptions!E18)^4-(PMT(Assumptions!E18,Assumptions!E19,-Assumptions!E17))*(((1+Assumptions!E18)^4-1)/Assumptions!E18),Assumptions!E17))*Assumptions!E18</f>
        <v>0</v>
      </c>
    </row>
    <row r="33" ht="15" customHeight="1">
      <c r="A33" s="51" t="inlineStr">
        <is>
          <t>Total Interest Expense</t>
        </is>
      </c>
      <c r="B33" s="53" t="n"/>
      <c r="C33" s="52">
        <f>C31+C32</f>
        <v>4512.497625</v>
      </c>
      <c r="D33" s="52">
        <f>D31+D32</f>
        <v>4512.497625</v>
      </c>
      <c r="E33" s="52">
        <f>E31+E32</f>
        <v>4512.497625</v>
      </c>
      <c r="F33" s="52">
        <f>F31+F32</f>
        <v>4512.497625</v>
      </c>
      <c r="G33" s="52">
        <f>G31+G32</f>
        <v>4512.497625</v>
      </c>
      <c r="H33" s="52">
        <f>H31+H32</f>
        <v>4512.497625</v>
      </c>
      <c r="I33" s="52">
        <f>I31+I32</f>
        <v>4512.497625</v>
      </c>
      <c r="J33" s="52">
        <f>J31+J32</f>
        <v>4512.497625</v>
      </c>
      <c r="K33" s="52">
        <f>K31+K32</f>
        <v>4512.497625</v>
      </c>
      <c r="L33" s="52">
        <f>L31+L32</f>
        <v>4512.497625</v>
      </c>
      <c r="M33" s="52">
        <f>M31+M32</f>
        <v>4512.497625</v>
      </c>
      <c r="N33" s="52">
        <f>N31+N32</f>
        <v>4512.497625</v>
      </c>
      <c r="O33" s="52">
        <f>O31+O32</f>
        <v>54149.9715</v>
      </c>
      <c r="P33" s="52">
        <f>P31+P32</f>
        <v>4222.4967682496726</v>
      </c>
      <c r="Q33" s="52">
        <f>Q31+Q32</f>
        <v>4222.4967682496726</v>
      </c>
      <c r="R33" s="52">
        <f>R31+R32</f>
        <v>4222.4967682496726</v>
      </c>
      <c r="S33" s="52">
        <f>S31+S32</f>
        <v>4222.4967682496726</v>
      </c>
      <c r="T33" s="52">
        <f>T31+T32</f>
        <v>4222.4967682496726</v>
      </c>
      <c r="U33" s="52">
        <f>U31+U32</f>
        <v>4222.4967682496726</v>
      </c>
      <c r="V33" s="52">
        <f>V31+V32</f>
        <v>4222.4967682496726</v>
      </c>
      <c r="W33" s="52">
        <f>W31+W32</f>
        <v>4222.4967682496726</v>
      </c>
      <c r="X33" s="52">
        <f>X31+X32</f>
        <v>4222.4967682496726</v>
      </c>
      <c r="Y33" s="52">
        <f>Y31+Y32</f>
        <v>4222.4967682496726</v>
      </c>
      <c r="Z33" s="52">
        <f>Z31+Z32</f>
        <v>4222.4967682496726</v>
      </c>
      <c r="AA33" s="52">
        <f>AA31+AA32</f>
        <v>4222.4967682496726</v>
      </c>
      <c r="AB33" s="52">
        <f>AB31+AB32</f>
        <v>50669.961218996068</v>
      </c>
      <c r="AC33" s="52">
        <f>AC31+AC32</f>
        <v>3904.9458301080626</v>
      </c>
      <c r="AD33" s="52">
        <f>AD31+AD32</f>
        <v>3904.9458301080626</v>
      </c>
      <c r="AE33" s="52">
        <f>AE31+AE32</f>
        <v>3904.9458301080626</v>
      </c>
      <c r="AF33" s="52">
        <f>AF31+AF32</f>
        <v>3904.9458301080626</v>
      </c>
      <c r="AG33" s="52">
        <f>AG31+AG32</f>
        <v>3904.9458301080626</v>
      </c>
      <c r="AH33" s="52">
        <f>AH31+AH32</f>
        <v>3904.9458301080626</v>
      </c>
      <c r="AI33" s="52">
        <f>AI31+AI32</f>
        <v>3904.9458301080626</v>
      </c>
      <c r="AJ33" s="52">
        <f>AJ31+AJ32</f>
        <v>3904.9458301080626</v>
      </c>
      <c r="AK33" s="52">
        <f>AK31+AK32</f>
        <v>3904.9458301080626</v>
      </c>
      <c r="AL33" s="52">
        <f>AL31+AL32</f>
        <v>3904.9458301080626</v>
      </c>
      <c r="AM33" s="52">
        <f>AM31+AM32</f>
        <v>3904.9458301080626</v>
      </c>
      <c r="AN33" s="52">
        <f>AN31+AN32</f>
        <v>3904.9458301080626</v>
      </c>
      <c r="AO33" s="52">
        <f>AO31+AO32</f>
        <v>46859.34996129675</v>
      </c>
      <c r="AP33" s="52">
        <f>AP31+AP32</f>
        <v>3557.2275528430005</v>
      </c>
      <c r="AQ33" s="52">
        <f>AQ31+AQ32</f>
        <v>3557.2275528430005</v>
      </c>
      <c r="AR33" s="52">
        <f>AR31+AR32</f>
        <v>3557.2275528430005</v>
      </c>
      <c r="AS33" s="52">
        <f>AS31+AS32</f>
        <v>3557.2275528430005</v>
      </c>
      <c r="AT33" s="52">
        <f>AT31+AT32</f>
        <v>3557.2275528430005</v>
      </c>
      <c r="AU33" s="52">
        <f>AU31+AU32</f>
        <v>3557.2275528430005</v>
      </c>
      <c r="AV33" s="52">
        <f>AV31+AV32</f>
        <v>3557.2275528430005</v>
      </c>
      <c r="AW33" s="52">
        <f>AW31+AW32</f>
        <v>3557.2275528430005</v>
      </c>
      <c r="AX33" s="52">
        <f>AX31+AX32</f>
        <v>3557.2275528430005</v>
      </c>
      <c r="AY33" s="52">
        <f>AY31+AY32</f>
        <v>3557.2275528430005</v>
      </c>
      <c r="AZ33" s="52">
        <f>AZ31+AZ32</f>
        <v>3557.2275528430005</v>
      </c>
      <c r="BA33" s="52">
        <f>BA31+BA32</f>
        <v>3557.2275528430005</v>
      </c>
      <c r="BB33" s="52">
        <f>BB31+BB32</f>
        <v>42686.730634116007</v>
      </c>
      <c r="BC33" s="52">
        <f>BC31+BC32</f>
        <v>3176.476039237758</v>
      </c>
      <c r="BD33" s="52">
        <f>BD31+BD32</f>
        <v>3176.476039237758</v>
      </c>
      <c r="BE33" s="52">
        <f>BE31+BE32</f>
        <v>3176.476039237758</v>
      </c>
      <c r="BF33" s="52">
        <f>BF31+BF32</f>
        <v>3176.476039237758</v>
      </c>
      <c r="BG33" s="52">
        <f>BG31+BG32</f>
        <v>3176.476039237758</v>
      </c>
      <c r="BH33" s="52">
        <f>BH31+BH32</f>
        <v>3176.476039237758</v>
      </c>
      <c r="BI33" s="52">
        <f>BI31+BI32</f>
        <v>3176.476039237758</v>
      </c>
      <c r="BJ33" s="52">
        <f>BJ31+BJ32</f>
        <v>3176.476039237758</v>
      </c>
      <c r="BK33" s="52">
        <f>BK31+BK32</f>
        <v>3176.476039237758</v>
      </c>
      <c r="BL33" s="52">
        <f>BL31+BL32</f>
        <v>3176.476039237758</v>
      </c>
      <c r="BM33" s="52">
        <f>BM31+BM32</f>
        <v>3176.476039237758</v>
      </c>
      <c r="BN33" s="52">
        <f>BN31+BN32</f>
        <v>3176.476039237758</v>
      </c>
      <c r="BO33" s="52">
        <f>BO31+BO32</f>
        <v>38117.712470853097</v>
      </c>
    </row>
    <row r="34" ht="15" customHeight="1">
      <c r="A34" s="60" t="inlineStr">
        <is>
          <t>Pretax Income</t>
        </is>
      </c>
      <c r="C34" s="56">
        <f>C28-C33</f>
        <v>7618.7000015416597</v>
      </c>
      <c r="D34" s="56">
        <f>D28-D33</f>
        <v>7618.7000015416597</v>
      </c>
      <c r="E34" s="56">
        <f>E28-E33</f>
        <v>7618.7000015416597</v>
      </c>
      <c r="F34" s="56">
        <f>F28-F33</f>
        <v>7618.7000015416597</v>
      </c>
      <c r="G34" s="56">
        <f>G28-G33</f>
        <v>7618.7000015416597</v>
      </c>
      <c r="H34" s="56">
        <f>H28-H33</f>
        <v>7618.7000015416597</v>
      </c>
      <c r="I34" s="56">
        <f>I28-I33</f>
        <v>7618.7000015416597</v>
      </c>
      <c r="J34" s="56">
        <f>J28-J33</f>
        <v>7618.7000015416597</v>
      </c>
      <c r="K34" s="56">
        <f>K28-K33</f>
        <v>7618.7000015416597</v>
      </c>
      <c r="L34" s="56">
        <f>L28-L33</f>
        <v>7618.7000015416597</v>
      </c>
      <c r="M34" s="56">
        <f>M28-M33</f>
        <v>7618.7000015416597</v>
      </c>
      <c r="N34" s="56">
        <f>N28-N33</f>
        <v>7618.7000015416597</v>
      </c>
      <c r="O34" s="56">
        <f>O28-O33</f>
        <v>91424.400018499975</v>
      </c>
      <c r="P34" s="56">
        <f>P28-P33</f>
        <v>3920.2116274169812</v>
      </c>
      <c r="Q34" s="56">
        <f>Q28-Q33</f>
        <v>3920.2116274169812</v>
      </c>
      <c r="R34" s="56">
        <f>R28-R33</f>
        <v>3920.2116274169812</v>
      </c>
      <c r="S34" s="56">
        <f>S28-S33</f>
        <v>3920.2116274169812</v>
      </c>
      <c r="T34" s="56">
        <f>T28-T33</f>
        <v>3920.2116274169812</v>
      </c>
      <c r="U34" s="56">
        <f>U28-U33</f>
        <v>3920.2116274169812</v>
      </c>
      <c r="V34" s="56">
        <f>V28-V33</f>
        <v>3920.2116274169812</v>
      </c>
      <c r="W34" s="56">
        <f>W28-W33</f>
        <v>3920.2116274169812</v>
      </c>
      <c r="X34" s="56">
        <f>X28-X33</f>
        <v>3920.2116274169812</v>
      </c>
      <c r="Y34" s="56">
        <f>Y28-Y33</f>
        <v>3920.2116274169812</v>
      </c>
      <c r="Z34" s="56">
        <f>Z28-Z33</f>
        <v>3920.2116274169812</v>
      </c>
      <c r="AA34" s="56">
        <f>AA28-AA33</f>
        <v>3920.2116274169812</v>
      </c>
      <c r="AB34" s="56">
        <f>AB28-AB33</f>
        <v>47042.539529003749</v>
      </c>
      <c r="AC34" s="56">
        <f>AC28-AC33</f>
        <v>4772.463195121094</v>
      </c>
      <c r="AD34" s="56">
        <f>AD28-AD33</f>
        <v>4772.463195121094</v>
      </c>
      <c r="AE34" s="56">
        <f>AE28-AE33</f>
        <v>4772.463195121094</v>
      </c>
      <c r="AF34" s="56">
        <f>AF28-AF33</f>
        <v>4772.463195121094</v>
      </c>
      <c r="AG34" s="56">
        <f>AG28-AG33</f>
        <v>4772.463195121094</v>
      </c>
      <c r="AH34" s="56">
        <f>AH28-AH33</f>
        <v>4772.463195121094</v>
      </c>
      <c r="AI34" s="56">
        <f>AI28-AI33</f>
        <v>4772.463195121094</v>
      </c>
      <c r="AJ34" s="56">
        <f>AJ28-AJ33</f>
        <v>4772.463195121094</v>
      </c>
      <c r="AK34" s="56">
        <f>AK28-AK33</f>
        <v>4772.463195121094</v>
      </c>
      <c r="AL34" s="56">
        <f>AL28-AL33</f>
        <v>4772.463195121094</v>
      </c>
      <c r="AM34" s="56">
        <f>AM28-AM33</f>
        <v>4772.463195121094</v>
      </c>
      <c r="AN34" s="56">
        <f>AN28-AN33</f>
        <v>4772.463195121094</v>
      </c>
      <c r="AO34" s="56">
        <f>AO28-AO33</f>
        <v>57269.55834145299</v>
      </c>
      <c r="AP34" s="56">
        <f>AP28-AP33</f>
        <v>5661.1944345543488</v>
      </c>
      <c r="AQ34" s="56">
        <f>AQ28-AQ33</f>
        <v>5661.1944345543488</v>
      </c>
      <c r="AR34" s="56">
        <f>AR28-AR33</f>
        <v>5661.1944345543488</v>
      </c>
      <c r="AS34" s="56">
        <f>AS28-AS33</f>
        <v>5661.1944345543488</v>
      </c>
      <c r="AT34" s="56">
        <f>AT28-AT33</f>
        <v>5661.1944345543488</v>
      </c>
      <c r="AU34" s="56">
        <f>AU28-AU33</f>
        <v>5661.1944345543488</v>
      </c>
      <c r="AV34" s="56">
        <f>AV28-AV33</f>
        <v>5661.1944345543488</v>
      </c>
      <c r="AW34" s="56">
        <f>AW28-AW33</f>
        <v>5661.1944345543488</v>
      </c>
      <c r="AX34" s="56">
        <f>AX28-AX33</f>
        <v>5661.1944345543488</v>
      </c>
      <c r="AY34" s="56">
        <f>AY28-AY33</f>
        <v>5661.1944345543488</v>
      </c>
      <c r="AZ34" s="56">
        <f>AZ28-AZ33</f>
        <v>5661.1944345543488</v>
      </c>
      <c r="BA34" s="56">
        <f>BA28-BA33</f>
        <v>5661.1944345543488</v>
      </c>
      <c r="BB34" s="56">
        <f>BB28-BB33</f>
        <v>67934.333214652113</v>
      </c>
      <c r="BC34" s="56">
        <f>BC28-BC33</f>
        <v>6587.0759446028387</v>
      </c>
      <c r="BD34" s="56">
        <f>BD28-BD33</f>
        <v>6587.0759446028387</v>
      </c>
      <c r="BE34" s="56">
        <f>BE28-BE33</f>
        <v>6587.0759446028387</v>
      </c>
      <c r="BF34" s="56">
        <f>BF28-BF33</f>
        <v>6587.0759446028387</v>
      </c>
      <c r="BG34" s="56">
        <f>BG28-BG33</f>
        <v>6587.0759446028387</v>
      </c>
      <c r="BH34" s="56">
        <f>BH28-BH33</f>
        <v>6587.0759446028387</v>
      </c>
      <c r="BI34" s="56">
        <f>BI28-BI33</f>
        <v>6587.0759446028387</v>
      </c>
      <c r="BJ34" s="56">
        <f>BJ28-BJ33</f>
        <v>6587.0759446028387</v>
      </c>
      <c r="BK34" s="56">
        <f>BK28-BK33</f>
        <v>6587.0759446028387</v>
      </c>
      <c r="BL34" s="56">
        <f>BL28-BL33</f>
        <v>6587.0759446028387</v>
      </c>
      <c r="BM34" s="56">
        <f>BM28-BM33</f>
        <v>6587.0759446028387</v>
      </c>
      <c r="BN34" s="56">
        <f>BN28-BN33</f>
        <v>6587.0759446028387</v>
      </c>
      <c r="BO34" s="56">
        <f>BO28-BO33</f>
        <v>79044.911335234094</v>
      </c>
    </row>
    <row r="35" ht="15" customHeight="1">
      <c r="A35" s="49" t="inlineStr">
        <is>
          <t>Entity-Level Income Tax (Pass-Through LLC)</t>
        </is>
      </c>
      <c r="C35" s="50">
        <f>0</f>
        <v>0</v>
      </c>
      <c r="D35" s="50">
        <f>0</f>
        <v>0</v>
      </c>
      <c r="E35" s="50">
        <f>0</f>
        <v>0</v>
      </c>
      <c r="F35" s="50">
        <f>0</f>
        <v>0</v>
      </c>
      <c r="G35" s="50">
        <f>0</f>
        <v>0</v>
      </c>
      <c r="H35" s="50">
        <f>0</f>
        <v>0</v>
      </c>
      <c r="I35" s="50">
        <f>0</f>
        <v>0</v>
      </c>
      <c r="J35" s="50">
        <f>0</f>
        <v>0</v>
      </c>
      <c r="K35" s="50">
        <f>0</f>
        <v>0</v>
      </c>
      <c r="L35" s="50">
        <f>0</f>
        <v>0</v>
      </c>
      <c r="M35" s="50">
        <f>0</f>
        <v>0</v>
      </c>
      <c r="N35" s="50">
        <f>0</f>
        <v>0</v>
      </c>
      <c r="O35" s="50">
        <f>0</f>
        <v>0</v>
      </c>
      <c r="P35" s="50">
        <f>0</f>
        <v>0</v>
      </c>
      <c r="Q35" s="50">
        <f>0</f>
        <v>0</v>
      </c>
      <c r="R35" s="50">
        <f>0</f>
        <v>0</v>
      </c>
      <c r="S35" s="50">
        <f>0</f>
        <v>0</v>
      </c>
      <c r="T35" s="50">
        <f>0</f>
        <v>0</v>
      </c>
      <c r="U35" s="50">
        <f>0</f>
        <v>0</v>
      </c>
      <c r="V35" s="50">
        <f>0</f>
        <v>0</v>
      </c>
      <c r="W35" s="50">
        <f>0</f>
        <v>0</v>
      </c>
      <c r="X35" s="50">
        <f>0</f>
        <v>0</v>
      </c>
      <c r="Y35" s="50">
        <f>0</f>
        <v>0</v>
      </c>
      <c r="Z35" s="50">
        <f>0</f>
        <v>0</v>
      </c>
      <c r="AA35" s="50">
        <f>0</f>
        <v>0</v>
      </c>
      <c r="AB35" s="50">
        <f>0</f>
        <v>0</v>
      </c>
      <c r="AC35" s="50">
        <f>0</f>
        <v>0</v>
      </c>
      <c r="AD35" s="50">
        <f>0</f>
        <v>0</v>
      </c>
      <c r="AE35" s="50">
        <f>0</f>
        <v>0</v>
      </c>
      <c r="AF35" s="50">
        <f>0</f>
        <v>0</v>
      </c>
      <c r="AG35" s="50">
        <f>0</f>
        <v>0</v>
      </c>
      <c r="AH35" s="50">
        <f>0</f>
        <v>0</v>
      </c>
      <c r="AI35" s="50">
        <f>0</f>
        <v>0</v>
      </c>
      <c r="AJ35" s="50">
        <f>0</f>
        <v>0</v>
      </c>
      <c r="AK35" s="50">
        <f>0</f>
        <v>0</v>
      </c>
      <c r="AL35" s="50">
        <f>0</f>
        <v>0</v>
      </c>
      <c r="AM35" s="50">
        <f>0</f>
        <v>0</v>
      </c>
      <c r="AN35" s="50">
        <f>0</f>
        <v>0</v>
      </c>
      <c r="AO35" s="50">
        <f>0</f>
        <v>0</v>
      </c>
      <c r="AP35" s="50">
        <f>0</f>
        <v>0</v>
      </c>
      <c r="AQ35" s="50">
        <f>0</f>
        <v>0</v>
      </c>
      <c r="AR35" s="50">
        <f>0</f>
        <v>0</v>
      </c>
      <c r="AS35" s="50">
        <f>0</f>
        <v>0</v>
      </c>
      <c r="AT35" s="50">
        <f>0</f>
        <v>0</v>
      </c>
      <c r="AU35" s="50">
        <f>0</f>
        <v>0</v>
      </c>
      <c r="AV35" s="50">
        <f>0</f>
        <v>0</v>
      </c>
      <c r="AW35" s="50">
        <f>0</f>
        <v>0</v>
      </c>
      <c r="AX35" s="50">
        <f>0</f>
        <v>0</v>
      </c>
      <c r="AY35" s="50">
        <f>0</f>
        <v>0</v>
      </c>
      <c r="AZ35" s="50">
        <f>0</f>
        <v>0</v>
      </c>
      <c r="BA35" s="50">
        <f>0</f>
        <v>0</v>
      </c>
      <c r="BB35" s="50">
        <f>0</f>
        <v>0</v>
      </c>
      <c r="BC35" s="50">
        <f>0</f>
        <v>0</v>
      </c>
      <c r="BD35" s="50">
        <f>0</f>
        <v>0</v>
      </c>
      <c r="BE35" s="50">
        <f>0</f>
        <v>0</v>
      </c>
      <c r="BF35" s="50">
        <f>0</f>
        <v>0</v>
      </c>
      <c r="BG35" s="50">
        <f>0</f>
        <v>0</v>
      </c>
      <c r="BH35" s="50">
        <f>0</f>
        <v>0</v>
      </c>
      <c r="BI35" s="50">
        <f>0</f>
        <v>0</v>
      </c>
      <c r="BJ35" s="50">
        <f>0</f>
        <v>0</v>
      </c>
      <c r="BK35" s="50">
        <f>0</f>
        <v>0</v>
      </c>
      <c r="BL35" s="50">
        <f>0</f>
        <v>0</v>
      </c>
      <c r="BM35" s="50">
        <f>0</f>
        <v>0</v>
      </c>
      <c r="BN35" s="50">
        <f>0</f>
        <v>0</v>
      </c>
      <c r="BO35" s="50">
        <f>0</f>
        <v>0</v>
      </c>
    </row>
    <row r="36" ht="15" customHeight="1">
      <c r="A36" s="60" t="inlineStr">
        <is>
          <t>Net Income (Pass-Through to Owner)</t>
        </is>
      </c>
      <c r="B36" s="53" t="n"/>
      <c r="C36" s="52">
        <f>C34-C35</f>
        <v>7618.7000015416597</v>
      </c>
      <c r="D36" s="52">
        <f>D34-D35</f>
        <v>7618.7000015416597</v>
      </c>
      <c r="E36" s="52">
        <f>E34-E35</f>
        <v>7618.7000015416597</v>
      </c>
      <c r="F36" s="52">
        <f>F34-F35</f>
        <v>7618.7000015416597</v>
      </c>
      <c r="G36" s="52">
        <f>G34-G35</f>
        <v>7618.7000015416597</v>
      </c>
      <c r="H36" s="52">
        <f>H34-H35</f>
        <v>7618.7000015416597</v>
      </c>
      <c r="I36" s="52">
        <f>I34-I35</f>
        <v>7618.7000015416597</v>
      </c>
      <c r="J36" s="52">
        <f>J34-J35</f>
        <v>7618.7000015416597</v>
      </c>
      <c r="K36" s="52">
        <f>K34-K35</f>
        <v>7618.7000015416597</v>
      </c>
      <c r="L36" s="52">
        <f>L34-L35</f>
        <v>7618.7000015416597</v>
      </c>
      <c r="M36" s="52">
        <f>M34-M35</f>
        <v>7618.7000015416597</v>
      </c>
      <c r="N36" s="52">
        <f>N34-N35</f>
        <v>7618.7000015416597</v>
      </c>
      <c r="O36" s="52">
        <f>O34-O35</f>
        <v>91424.400018499975</v>
      </c>
      <c r="P36" s="52">
        <f>P34-P35</f>
        <v>3920.2116274169812</v>
      </c>
      <c r="Q36" s="52">
        <f>Q34-Q35</f>
        <v>3920.2116274169812</v>
      </c>
      <c r="R36" s="52">
        <f>R34-R35</f>
        <v>3920.2116274169812</v>
      </c>
      <c r="S36" s="52">
        <f>S34-S35</f>
        <v>3920.2116274169812</v>
      </c>
      <c r="T36" s="52">
        <f>T34-T35</f>
        <v>3920.2116274169812</v>
      </c>
      <c r="U36" s="52">
        <f>U34-U35</f>
        <v>3920.2116274169812</v>
      </c>
      <c r="V36" s="52">
        <f>V34-V35</f>
        <v>3920.2116274169812</v>
      </c>
      <c r="W36" s="52">
        <f>W34-W35</f>
        <v>3920.2116274169812</v>
      </c>
      <c r="X36" s="52">
        <f>X34-X35</f>
        <v>3920.2116274169812</v>
      </c>
      <c r="Y36" s="52">
        <f>Y34-Y35</f>
        <v>3920.2116274169812</v>
      </c>
      <c r="Z36" s="52">
        <f>Z34-Z35</f>
        <v>3920.2116274169812</v>
      </c>
      <c r="AA36" s="52">
        <f>AA34-AA35</f>
        <v>3920.2116274169812</v>
      </c>
      <c r="AB36" s="52">
        <f>AB34-AB35</f>
        <v>47042.539529003749</v>
      </c>
      <c r="AC36" s="52">
        <f>AC34-AC35</f>
        <v>4772.463195121094</v>
      </c>
      <c r="AD36" s="52">
        <f>AD34-AD35</f>
        <v>4772.463195121094</v>
      </c>
      <c r="AE36" s="52">
        <f>AE34-AE35</f>
        <v>4772.463195121094</v>
      </c>
      <c r="AF36" s="52">
        <f>AF34-AF35</f>
        <v>4772.463195121094</v>
      </c>
      <c r="AG36" s="52">
        <f>AG34-AG35</f>
        <v>4772.463195121094</v>
      </c>
      <c r="AH36" s="52">
        <f>AH34-AH35</f>
        <v>4772.463195121094</v>
      </c>
      <c r="AI36" s="52">
        <f>AI34-AI35</f>
        <v>4772.463195121094</v>
      </c>
      <c r="AJ36" s="52">
        <f>AJ34-AJ35</f>
        <v>4772.463195121094</v>
      </c>
      <c r="AK36" s="52">
        <f>AK34-AK35</f>
        <v>4772.463195121094</v>
      </c>
      <c r="AL36" s="52">
        <f>AL34-AL35</f>
        <v>4772.463195121094</v>
      </c>
      <c r="AM36" s="52">
        <f>AM34-AM35</f>
        <v>4772.463195121094</v>
      </c>
      <c r="AN36" s="52">
        <f>AN34-AN35</f>
        <v>4772.463195121094</v>
      </c>
      <c r="AO36" s="52">
        <f>AO34-AO35</f>
        <v>57269.55834145299</v>
      </c>
      <c r="AP36" s="52">
        <f>AP34-AP35</f>
        <v>5661.1944345543488</v>
      </c>
      <c r="AQ36" s="52">
        <f>AQ34-AQ35</f>
        <v>5661.1944345543488</v>
      </c>
      <c r="AR36" s="52">
        <f>AR34-AR35</f>
        <v>5661.1944345543488</v>
      </c>
      <c r="AS36" s="52">
        <f>AS34-AS35</f>
        <v>5661.1944345543488</v>
      </c>
      <c r="AT36" s="52">
        <f>AT34-AT35</f>
        <v>5661.1944345543488</v>
      </c>
      <c r="AU36" s="52">
        <f>AU34-AU35</f>
        <v>5661.1944345543488</v>
      </c>
      <c r="AV36" s="52">
        <f>AV34-AV35</f>
        <v>5661.1944345543488</v>
      </c>
      <c r="AW36" s="52">
        <f>AW34-AW35</f>
        <v>5661.1944345543488</v>
      </c>
      <c r="AX36" s="52">
        <f>AX34-AX35</f>
        <v>5661.1944345543488</v>
      </c>
      <c r="AY36" s="52">
        <f>AY34-AY35</f>
        <v>5661.1944345543488</v>
      </c>
      <c r="AZ36" s="52">
        <f>AZ34-AZ35</f>
        <v>5661.1944345543488</v>
      </c>
      <c r="BA36" s="52">
        <f>BA34-BA35</f>
        <v>5661.1944345543488</v>
      </c>
      <c r="BB36" s="52">
        <f>BB34-BB35</f>
        <v>67934.333214652113</v>
      </c>
      <c r="BC36" s="52">
        <f>BC34-BC35</f>
        <v>6587.0759446028387</v>
      </c>
      <c r="BD36" s="52">
        <f>BD34-BD35</f>
        <v>6587.0759446028387</v>
      </c>
      <c r="BE36" s="52">
        <f>BE34-BE35</f>
        <v>6587.0759446028387</v>
      </c>
      <c r="BF36" s="52">
        <f>BF34-BF35</f>
        <v>6587.0759446028387</v>
      </c>
      <c r="BG36" s="52">
        <f>BG34-BG35</f>
        <v>6587.0759446028387</v>
      </c>
      <c r="BH36" s="52">
        <f>BH34-BH35</f>
        <v>6587.0759446028387</v>
      </c>
      <c r="BI36" s="52">
        <f>BI34-BI35</f>
        <v>6587.0759446028387</v>
      </c>
      <c r="BJ36" s="52">
        <f>BJ34-BJ35</f>
        <v>6587.0759446028387</v>
      </c>
      <c r="BK36" s="52">
        <f>BK34-BK35</f>
        <v>6587.0759446028387</v>
      </c>
      <c r="BL36" s="52">
        <f>BL34-BL35</f>
        <v>6587.0759446028387</v>
      </c>
      <c r="BM36" s="52">
        <f>BM34-BM35</f>
        <v>6587.0759446028387</v>
      </c>
      <c r="BN36" s="52">
        <f>BN34-BN35</f>
        <v>6587.0759446028387</v>
      </c>
      <c r="BO36" s="52">
        <f>BO34-BO35</f>
        <v>79044.911335234094</v>
      </c>
    </row>
    <row r="37" ht="15" customHeight="1">
      <c r="A37" s="49" t="inlineStr">
        <is>
          <t>Net Margin %</t>
        </is>
      </c>
      <c r="C37" s="54">
        <f>IFERROR(C36/C7,0)</f>
        <v>0.092807834744920853</v>
      </c>
      <c r="D37" s="54">
        <f>IFERROR(D36/D7,0)</f>
        <v>0.092807834744920853</v>
      </c>
      <c r="E37" s="54">
        <f>IFERROR(E36/E7,0)</f>
        <v>0.092807834744920853</v>
      </c>
      <c r="F37" s="54">
        <f>IFERROR(F36/F7,0)</f>
        <v>0.092807834744920853</v>
      </c>
      <c r="G37" s="54">
        <f>IFERROR(G36/G7,0)</f>
        <v>0.092807834744920853</v>
      </c>
      <c r="H37" s="54">
        <f>IFERROR(H36/H7,0)</f>
        <v>0.092807834744920853</v>
      </c>
      <c r="I37" s="54">
        <f>IFERROR(I36/I7,0)</f>
        <v>0.092807834744920853</v>
      </c>
      <c r="J37" s="54">
        <f>IFERROR(J36/J7,0)</f>
        <v>0.092807834744920853</v>
      </c>
      <c r="K37" s="54">
        <f>IFERROR(K36/K7,0)</f>
        <v>0.092807834744920853</v>
      </c>
      <c r="L37" s="54">
        <f>IFERROR(L36/L7,0)</f>
        <v>0.092807834744920853</v>
      </c>
      <c r="M37" s="54">
        <f>IFERROR(M36/M7,0)</f>
        <v>0.092807834744920853</v>
      </c>
      <c r="N37" s="54">
        <f>IFERROR(N36/N7,0)</f>
        <v>0.092807834744920853</v>
      </c>
      <c r="O37" s="54">
        <f>IFERROR(O36/O7,0)</f>
        <v>0.092807834744920922</v>
      </c>
      <c r="P37" s="54">
        <f>IFERROR(P36/P7,0)</f>
        <v>0.045697978564680157</v>
      </c>
      <c r="Q37" s="54">
        <f>IFERROR(Q36/Q7,0)</f>
        <v>0.045697978564680157</v>
      </c>
      <c r="R37" s="54">
        <f>IFERROR(R36/R7,0)</f>
        <v>0.045697978564680157</v>
      </c>
      <c r="S37" s="54">
        <f>IFERROR(S36/S7,0)</f>
        <v>0.045697978564680157</v>
      </c>
      <c r="T37" s="54">
        <f>IFERROR(T36/T7,0)</f>
        <v>0.045697978564680157</v>
      </c>
      <c r="U37" s="54">
        <f>IFERROR(U36/U7,0)</f>
        <v>0.045697978564680157</v>
      </c>
      <c r="V37" s="54">
        <f>IFERROR(V36/V7,0)</f>
        <v>0.045697978564680157</v>
      </c>
      <c r="W37" s="54">
        <f>IFERROR(W36/W7,0)</f>
        <v>0.045697978564680157</v>
      </c>
      <c r="X37" s="54">
        <f>IFERROR(X36/X7,0)</f>
        <v>0.045697978564680157</v>
      </c>
      <c r="Y37" s="54">
        <f>IFERROR(Y36/Y7,0)</f>
        <v>0.045697978564680157</v>
      </c>
      <c r="Z37" s="54">
        <f>IFERROR(Z36/Z7,0)</f>
        <v>0.045697978564680157</v>
      </c>
      <c r="AA37" s="54">
        <f>IFERROR(AA36/AA7,0)</f>
        <v>0.045697978564680157</v>
      </c>
      <c r="AB37" s="54">
        <f>IFERROR(AB36/AB7,0)</f>
        <v>0.045697978564680129</v>
      </c>
      <c r="AC37" s="54">
        <f>IFERROR(AC36/AC7,0)</f>
        <v>0.053237024555400976</v>
      </c>
      <c r="AD37" s="54">
        <f>IFERROR(AD36/AD7,0)</f>
        <v>0.053237024555400976</v>
      </c>
      <c r="AE37" s="54">
        <f>IFERROR(AE36/AE7,0)</f>
        <v>0.053237024555400976</v>
      </c>
      <c r="AF37" s="54">
        <f>IFERROR(AF36/AF7,0)</f>
        <v>0.053237024555400976</v>
      </c>
      <c r="AG37" s="54">
        <f>IFERROR(AG36/AG7,0)</f>
        <v>0.053237024555400976</v>
      </c>
      <c r="AH37" s="54">
        <f>IFERROR(AH36/AH7,0)</f>
        <v>0.053237024555400976</v>
      </c>
      <c r="AI37" s="54">
        <f>IFERROR(AI36/AI7,0)</f>
        <v>0.053237024555400976</v>
      </c>
      <c r="AJ37" s="54">
        <f>IFERROR(AJ36/AJ7,0)</f>
        <v>0.053237024555400976</v>
      </c>
      <c r="AK37" s="54">
        <f>IFERROR(AK36/AK7,0)</f>
        <v>0.053237024555400976</v>
      </c>
      <c r="AL37" s="54">
        <f>IFERROR(AL36/AL7,0)</f>
        <v>0.053237024555400976</v>
      </c>
      <c r="AM37" s="54">
        <f>IFERROR(AM36/AM7,0)</f>
        <v>0.053237024555400976</v>
      </c>
      <c r="AN37" s="54">
        <f>IFERROR(AN36/AN7,0)</f>
        <v>0.053237024555400976</v>
      </c>
      <c r="AO37" s="54">
        <f>IFERROR(AO36/AO7,0)</f>
        <v>0.053237024555400851</v>
      </c>
      <c r="AP37" s="54">
        <f>IFERROR(AP36/AP7,0)</f>
        <v>0.060431443379000596</v>
      </c>
      <c r="AQ37" s="54">
        <f>IFERROR(AQ36/AQ7,0)</f>
        <v>0.060431443379000596</v>
      </c>
      <c r="AR37" s="54">
        <f>IFERROR(AR36/AR7,0)</f>
        <v>0.060431443379000596</v>
      </c>
      <c r="AS37" s="54">
        <f>IFERROR(AS36/AS7,0)</f>
        <v>0.060431443379000596</v>
      </c>
      <c r="AT37" s="54">
        <f>IFERROR(AT36/AT7,0)</f>
        <v>0.060431443379000596</v>
      </c>
      <c r="AU37" s="54">
        <f>IFERROR(AU36/AU7,0)</f>
        <v>0.060431443379000596</v>
      </c>
      <c r="AV37" s="54">
        <f>IFERROR(AV36/AV7,0)</f>
        <v>0.060431443379000596</v>
      </c>
      <c r="AW37" s="54">
        <f>IFERROR(AW36/AW7,0)</f>
        <v>0.060431443379000596</v>
      </c>
      <c r="AX37" s="54">
        <f>IFERROR(AX36/AX7,0)</f>
        <v>0.060431443379000596</v>
      </c>
      <c r="AY37" s="54">
        <f>IFERROR(AY36/AY7,0)</f>
        <v>0.060431443379000596</v>
      </c>
      <c r="AZ37" s="54">
        <f>IFERROR(AZ36/AZ7,0)</f>
        <v>0.060431443379000596</v>
      </c>
      <c r="BA37" s="54">
        <f>IFERROR(BA36/BA7,0)</f>
        <v>0.060431443379000596</v>
      </c>
      <c r="BB37" s="54">
        <f>IFERROR(BB36/BB7,0)</f>
        <v>0.060431443379000527</v>
      </c>
      <c r="BC37" s="54">
        <f>IFERROR(BC36/BC7,0)</f>
        <v>0.067287017159596063</v>
      </c>
      <c r="BD37" s="54">
        <f>IFERROR(BD36/BD7,0)</f>
        <v>0.067287017159596063</v>
      </c>
      <c r="BE37" s="54">
        <f>IFERROR(BE36/BE7,0)</f>
        <v>0.067287017159596063</v>
      </c>
      <c r="BF37" s="54">
        <f>IFERROR(BF36/BF7,0)</f>
        <v>0.067287017159596063</v>
      </c>
      <c r="BG37" s="54">
        <f>IFERROR(BG36/BG7,0)</f>
        <v>0.067287017159596063</v>
      </c>
      <c r="BH37" s="54">
        <f>IFERROR(BH36/BH7,0)</f>
        <v>0.067287017159596063</v>
      </c>
      <c r="BI37" s="54">
        <f>IFERROR(BI36/BI7,0)</f>
        <v>0.067287017159596063</v>
      </c>
      <c r="BJ37" s="54">
        <f>IFERROR(BJ36/BJ7,0)</f>
        <v>0.067287017159596063</v>
      </c>
      <c r="BK37" s="54">
        <f>IFERROR(BK36/BK7,0)</f>
        <v>0.067287017159596063</v>
      </c>
      <c r="BL37" s="54">
        <f>IFERROR(BL36/BL7,0)</f>
        <v>0.067287017159596063</v>
      </c>
      <c r="BM37" s="54">
        <f>IFERROR(BM36/BM7,0)</f>
        <v>0.067287017159596063</v>
      </c>
      <c r="BN37" s="54">
        <f>IFERROR(BN36/BN7,0)</f>
        <v>0.067287017159596063</v>
      </c>
      <c r="BO37" s="54">
        <f>IFERROR(BO36/BO7,0)</f>
        <v>0.067287017159596091</v>
      </c>
    </row>
    <row r="38"/>
    <row r="39" ht="15" customHeight="1">
      <c r="A39" s="49" t="inlineStr">
        <is>
          <t>Memo: Owner Tax Distribution (Assumed)</t>
        </is>
      </c>
      <c r="C39" s="77">
        <f>$O39/12</f>
        <v>1142.8050002312496</v>
      </c>
      <c r="D39" s="77">
        <f>$O39/12</f>
        <v>1142.8050002312496</v>
      </c>
      <c r="E39" s="77">
        <f>$O39/12</f>
        <v>1142.8050002312496</v>
      </c>
      <c r="F39" s="77">
        <f>$O39/12</f>
        <v>1142.8050002312496</v>
      </c>
      <c r="G39" s="77">
        <f>$O39/12</f>
        <v>1142.8050002312496</v>
      </c>
      <c r="H39" s="77">
        <f>$O39/12</f>
        <v>1142.8050002312496</v>
      </c>
      <c r="I39" s="77">
        <f>$O39/12</f>
        <v>1142.8050002312496</v>
      </c>
      <c r="J39" s="77">
        <f>$O39/12</f>
        <v>1142.8050002312496</v>
      </c>
      <c r="K39" s="77">
        <f>$O39/12</f>
        <v>1142.8050002312496</v>
      </c>
      <c r="L39" s="77">
        <f>$O39/12</f>
        <v>1142.8050002312496</v>
      </c>
      <c r="M39" s="77">
        <f>$O39/12</f>
        <v>1142.8050002312496</v>
      </c>
      <c r="N39" s="77">
        <f>$O39/12</f>
        <v>1142.8050002312496</v>
      </c>
      <c r="O39" s="77">
        <f>MAX(0,O36)*Assumptions!E110</f>
        <v>13713.660002774996</v>
      </c>
      <c r="P39" s="77">
        <f>$AB39/12</f>
        <v>588.03174411254679</v>
      </c>
      <c r="Q39" s="77">
        <f>$AB39/12</f>
        <v>588.03174411254679</v>
      </c>
      <c r="R39" s="77">
        <f>$AB39/12</f>
        <v>588.03174411254679</v>
      </c>
      <c r="S39" s="77">
        <f>$AB39/12</f>
        <v>588.03174411254679</v>
      </c>
      <c r="T39" s="77">
        <f>$AB39/12</f>
        <v>588.03174411254679</v>
      </c>
      <c r="U39" s="77">
        <f>$AB39/12</f>
        <v>588.03174411254679</v>
      </c>
      <c r="V39" s="77">
        <f>$AB39/12</f>
        <v>588.03174411254679</v>
      </c>
      <c r="W39" s="77">
        <f>$AB39/12</f>
        <v>588.03174411254679</v>
      </c>
      <c r="X39" s="77">
        <f>$AB39/12</f>
        <v>588.03174411254679</v>
      </c>
      <c r="Y39" s="77">
        <f>$AB39/12</f>
        <v>588.03174411254679</v>
      </c>
      <c r="Z39" s="77">
        <f>$AB39/12</f>
        <v>588.03174411254679</v>
      </c>
      <c r="AA39" s="77">
        <f>$AB39/12</f>
        <v>588.03174411254679</v>
      </c>
      <c r="AB39" s="77">
        <f>MAX(0,AB36)*Assumptions!E110</f>
        <v>7056.3809293505619</v>
      </c>
      <c r="AC39" s="77">
        <f>$AO39/12</f>
        <v>715.86947926816231</v>
      </c>
      <c r="AD39" s="77">
        <f>$AO39/12</f>
        <v>715.86947926816231</v>
      </c>
      <c r="AE39" s="77">
        <f>$AO39/12</f>
        <v>715.86947926816231</v>
      </c>
      <c r="AF39" s="77">
        <f>$AO39/12</f>
        <v>715.86947926816231</v>
      </c>
      <c r="AG39" s="77">
        <f>$AO39/12</f>
        <v>715.86947926816231</v>
      </c>
      <c r="AH39" s="77">
        <f>$AO39/12</f>
        <v>715.86947926816231</v>
      </c>
      <c r="AI39" s="77">
        <f>$AO39/12</f>
        <v>715.86947926816231</v>
      </c>
      <c r="AJ39" s="77">
        <f>$AO39/12</f>
        <v>715.86947926816231</v>
      </c>
      <c r="AK39" s="77">
        <f>$AO39/12</f>
        <v>715.86947926816231</v>
      </c>
      <c r="AL39" s="77">
        <f>$AO39/12</f>
        <v>715.86947926816231</v>
      </c>
      <c r="AM39" s="77">
        <f>$AO39/12</f>
        <v>715.86947926816231</v>
      </c>
      <c r="AN39" s="77">
        <f>$AO39/12</f>
        <v>715.86947926816231</v>
      </c>
      <c r="AO39" s="77">
        <f>MAX(0,AO36)*Assumptions!E110</f>
        <v>8590.4337512179482</v>
      </c>
      <c r="AP39" s="77">
        <f>$BB39/12</f>
        <v>849.17916518315133</v>
      </c>
      <c r="AQ39" s="77">
        <f>$BB39/12</f>
        <v>849.17916518315133</v>
      </c>
      <c r="AR39" s="77">
        <f>$BB39/12</f>
        <v>849.17916518315133</v>
      </c>
      <c r="AS39" s="77">
        <f>$BB39/12</f>
        <v>849.17916518315133</v>
      </c>
      <c r="AT39" s="77">
        <f>$BB39/12</f>
        <v>849.17916518315133</v>
      </c>
      <c r="AU39" s="77">
        <f>$BB39/12</f>
        <v>849.17916518315133</v>
      </c>
      <c r="AV39" s="77">
        <f>$BB39/12</f>
        <v>849.17916518315133</v>
      </c>
      <c r="AW39" s="77">
        <f>$BB39/12</f>
        <v>849.17916518315133</v>
      </c>
      <c r="AX39" s="77">
        <f>$BB39/12</f>
        <v>849.17916518315133</v>
      </c>
      <c r="AY39" s="77">
        <f>$BB39/12</f>
        <v>849.17916518315133</v>
      </c>
      <c r="AZ39" s="77">
        <f>$BB39/12</f>
        <v>849.17916518315133</v>
      </c>
      <c r="BA39" s="77">
        <f>$BB39/12</f>
        <v>849.17916518315133</v>
      </c>
      <c r="BB39" s="77">
        <f>MAX(0,BB36)*Assumptions!E110</f>
        <v>10190.149982197816</v>
      </c>
      <c r="BC39" s="77">
        <f>$BO39/12</f>
        <v>988.06139169042615</v>
      </c>
      <c r="BD39" s="77">
        <f>$BO39/12</f>
        <v>988.06139169042615</v>
      </c>
      <c r="BE39" s="77">
        <f>$BO39/12</f>
        <v>988.06139169042615</v>
      </c>
      <c r="BF39" s="77">
        <f>$BO39/12</f>
        <v>988.06139169042615</v>
      </c>
      <c r="BG39" s="77">
        <f>$BO39/12</f>
        <v>988.06139169042615</v>
      </c>
      <c r="BH39" s="77">
        <f>$BO39/12</f>
        <v>988.06139169042615</v>
      </c>
      <c r="BI39" s="77">
        <f>$BO39/12</f>
        <v>988.06139169042615</v>
      </c>
      <c r="BJ39" s="77">
        <f>$BO39/12</f>
        <v>988.06139169042615</v>
      </c>
      <c r="BK39" s="77">
        <f>$BO39/12</f>
        <v>988.06139169042615</v>
      </c>
      <c r="BL39" s="77">
        <f>$BO39/12</f>
        <v>988.06139169042615</v>
      </c>
      <c r="BM39" s="77">
        <f>$BO39/12</f>
        <v>988.06139169042615</v>
      </c>
      <c r="BN39" s="77">
        <f>$BO39/12</f>
        <v>988.06139169042615</v>
      </c>
      <c r="BO39" s="77">
        <f>MAX(0,BO36)*Assumptions!E110</f>
        <v>11856.736700285113</v>
      </c>
    </row>
    <row r="40" ht="15" customHeight="1">
      <c r="A40" s="49" t="inlineStr">
        <is>
          <t>Memo: Net Income Retained in Business</t>
        </is>
      </c>
      <c r="C40" s="77">
        <f>C36-C39</f>
        <v>6475.8950013104104</v>
      </c>
      <c r="D40" s="77">
        <f>D36-D39</f>
        <v>6475.8950013104104</v>
      </c>
      <c r="E40" s="77">
        <f>E36-E39</f>
        <v>6475.8950013104104</v>
      </c>
      <c r="F40" s="77">
        <f>F36-F39</f>
        <v>6475.8950013104104</v>
      </c>
      <c r="G40" s="77">
        <f>G36-G39</f>
        <v>6475.8950013104104</v>
      </c>
      <c r="H40" s="77">
        <f>H36-H39</f>
        <v>6475.8950013104104</v>
      </c>
      <c r="I40" s="77">
        <f>I36-I39</f>
        <v>6475.8950013104104</v>
      </c>
      <c r="J40" s="77">
        <f>J36-J39</f>
        <v>6475.8950013104104</v>
      </c>
      <c r="K40" s="77">
        <f>K36-K39</f>
        <v>6475.8950013104104</v>
      </c>
      <c r="L40" s="77">
        <f>L36-L39</f>
        <v>6475.8950013104104</v>
      </c>
      <c r="M40" s="77">
        <f>M36-M39</f>
        <v>6475.8950013104104</v>
      </c>
      <c r="N40" s="77">
        <f>N36-N39</f>
        <v>6475.8950013104104</v>
      </c>
      <c r="O40" s="77">
        <f>O36-O39</f>
        <v>77710.740015724979</v>
      </c>
      <c r="P40" s="77">
        <f>P36-P39</f>
        <v>3332.1798833044345</v>
      </c>
      <c r="Q40" s="77">
        <f>Q36-Q39</f>
        <v>3332.1798833044345</v>
      </c>
      <c r="R40" s="77">
        <f>R36-R39</f>
        <v>3332.1798833044345</v>
      </c>
      <c r="S40" s="77">
        <f>S36-S39</f>
        <v>3332.1798833044345</v>
      </c>
      <c r="T40" s="77">
        <f>T36-T39</f>
        <v>3332.1798833044345</v>
      </c>
      <c r="U40" s="77">
        <f>U36-U39</f>
        <v>3332.1798833044345</v>
      </c>
      <c r="V40" s="77">
        <f>V36-V39</f>
        <v>3332.1798833044345</v>
      </c>
      <c r="W40" s="77">
        <f>W36-W39</f>
        <v>3332.1798833044345</v>
      </c>
      <c r="X40" s="77">
        <f>X36-X39</f>
        <v>3332.1798833044345</v>
      </c>
      <c r="Y40" s="77">
        <f>Y36-Y39</f>
        <v>3332.1798833044345</v>
      </c>
      <c r="Z40" s="77">
        <f>Z36-Z39</f>
        <v>3332.1798833044345</v>
      </c>
      <c r="AA40" s="77">
        <f>AA36-AA39</f>
        <v>3332.1798833044345</v>
      </c>
      <c r="AB40" s="77">
        <f>AB36-AB39</f>
        <v>39986.158599653187</v>
      </c>
      <c r="AC40" s="77">
        <f>AC36-AC39</f>
        <v>4056.5937158529318</v>
      </c>
      <c r="AD40" s="77">
        <f>AD36-AD39</f>
        <v>4056.5937158529318</v>
      </c>
      <c r="AE40" s="77">
        <f>AE36-AE39</f>
        <v>4056.5937158529318</v>
      </c>
      <c r="AF40" s="77">
        <f>AF36-AF39</f>
        <v>4056.5937158529318</v>
      </c>
      <c r="AG40" s="77">
        <f>AG36-AG39</f>
        <v>4056.5937158529318</v>
      </c>
      <c r="AH40" s="77">
        <f>AH36-AH39</f>
        <v>4056.5937158529318</v>
      </c>
      <c r="AI40" s="77">
        <f>AI36-AI39</f>
        <v>4056.5937158529318</v>
      </c>
      <c r="AJ40" s="77">
        <f>AJ36-AJ39</f>
        <v>4056.5937158529318</v>
      </c>
      <c r="AK40" s="77">
        <f>AK36-AK39</f>
        <v>4056.5937158529318</v>
      </c>
      <c r="AL40" s="77">
        <f>AL36-AL39</f>
        <v>4056.5937158529318</v>
      </c>
      <c r="AM40" s="77">
        <f>AM36-AM39</f>
        <v>4056.5937158529318</v>
      </c>
      <c r="AN40" s="77">
        <f>AN36-AN39</f>
        <v>4056.5937158529318</v>
      </c>
      <c r="AO40" s="77">
        <f>AO36-AO39</f>
        <v>48679.124590235042</v>
      </c>
      <c r="AP40" s="77">
        <f>AP36-AP39</f>
        <v>4812.0152693711971</v>
      </c>
      <c r="AQ40" s="77">
        <f>AQ36-AQ39</f>
        <v>4812.0152693711971</v>
      </c>
      <c r="AR40" s="77">
        <f>AR36-AR39</f>
        <v>4812.0152693711971</v>
      </c>
      <c r="AS40" s="77">
        <f>AS36-AS39</f>
        <v>4812.0152693711971</v>
      </c>
      <c r="AT40" s="77">
        <f>AT36-AT39</f>
        <v>4812.0152693711971</v>
      </c>
      <c r="AU40" s="77">
        <f>AU36-AU39</f>
        <v>4812.0152693711971</v>
      </c>
      <c r="AV40" s="77">
        <f>AV36-AV39</f>
        <v>4812.0152693711971</v>
      </c>
      <c r="AW40" s="77">
        <f>AW36-AW39</f>
        <v>4812.0152693711971</v>
      </c>
      <c r="AX40" s="77">
        <f>AX36-AX39</f>
        <v>4812.0152693711971</v>
      </c>
      <c r="AY40" s="77">
        <f>AY36-AY39</f>
        <v>4812.0152693711971</v>
      </c>
      <c r="AZ40" s="77">
        <f>AZ36-AZ39</f>
        <v>4812.0152693711971</v>
      </c>
      <c r="BA40" s="77">
        <f>BA36-BA39</f>
        <v>4812.0152693711971</v>
      </c>
      <c r="BB40" s="77">
        <f>BB36-BB39</f>
        <v>57744.183232454299</v>
      </c>
      <c r="BC40" s="77">
        <f>BC36-BC39</f>
        <v>5599.0145529124129</v>
      </c>
      <c r="BD40" s="77">
        <f>BD36-BD39</f>
        <v>5599.0145529124129</v>
      </c>
      <c r="BE40" s="77">
        <f>BE36-BE39</f>
        <v>5599.0145529124129</v>
      </c>
      <c r="BF40" s="77">
        <f>BF36-BF39</f>
        <v>5599.0145529124129</v>
      </c>
      <c r="BG40" s="77">
        <f>BG36-BG39</f>
        <v>5599.0145529124129</v>
      </c>
      <c r="BH40" s="77">
        <f>BH36-BH39</f>
        <v>5599.0145529124129</v>
      </c>
      <c r="BI40" s="77">
        <f>BI36-BI39</f>
        <v>5599.0145529124129</v>
      </c>
      <c r="BJ40" s="77">
        <f>BJ36-BJ39</f>
        <v>5599.0145529124129</v>
      </c>
      <c r="BK40" s="77">
        <f>BK36-BK39</f>
        <v>5599.0145529124129</v>
      </c>
      <c r="BL40" s="77">
        <f>BL36-BL39</f>
        <v>5599.0145529124129</v>
      </c>
      <c r="BM40" s="77">
        <f>BM36-BM39</f>
        <v>5599.0145529124129</v>
      </c>
      <c r="BN40" s="77">
        <f>BN36-BN39</f>
        <v>5599.0145529124129</v>
      </c>
      <c r="BO40" s="77">
        <f>BO36-BO39</f>
        <v>67188.174634948984</v>
      </c>
    </row>
    <row r="41"/>
    <row r="42"/>
    <row r="43" ht="15" customHeight="1">
      <c r="A43" s="46" t="inlineStr">
        <is>
          <t>BALANCE SHEET</t>
        </is>
      </c>
      <c r="B43" s="46" t="n"/>
      <c r="C43" s="46" t="n"/>
      <c r="D43" s="46" t="n"/>
      <c r="E43" s="46" t="n"/>
      <c r="F43" s="46" t="n"/>
      <c r="G43" s="46" t="n"/>
    </row>
    <row r="44" ht="15" customHeight="1">
      <c r="A44" s="47" t="n"/>
      <c r="B44" s="48" t="inlineStr">
        <is>
          <t>At Close</t>
        </is>
      </c>
      <c r="C44" s="48" t="inlineStr">
        <is>
          <t>M1</t>
        </is>
      </c>
      <c r="D44" s="48" t="inlineStr">
        <is>
          <t>M2</t>
        </is>
      </c>
      <c r="E44" s="48" t="inlineStr">
        <is>
          <t>M3</t>
        </is>
      </c>
      <c r="F44" s="48" t="inlineStr">
        <is>
          <t>M4</t>
        </is>
      </c>
      <c r="G44" s="48" t="inlineStr">
        <is>
          <t>M5</t>
        </is>
      </c>
      <c r="H44" s="48" t="inlineStr">
        <is>
          <t>M6</t>
        </is>
      </c>
      <c r="I44" s="48" t="inlineStr">
        <is>
          <t>M7</t>
        </is>
      </c>
      <c r="J44" s="48" t="inlineStr">
        <is>
          <t>M8</t>
        </is>
      </c>
      <c r="K44" s="48" t="inlineStr">
        <is>
          <t>M9</t>
        </is>
      </c>
      <c r="L44" s="48" t="inlineStr">
        <is>
          <t>M10</t>
        </is>
      </c>
      <c r="M44" s="48" t="inlineStr">
        <is>
          <t>M11</t>
        </is>
      </c>
      <c r="N44" s="48" t="inlineStr">
        <is>
          <t>M12</t>
        </is>
      </c>
      <c r="O44" s="48" t="inlineStr">
        <is>
          <t>Year 1</t>
        </is>
      </c>
      <c r="P44" s="48" t="inlineStr">
        <is>
          <t>M1</t>
        </is>
      </c>
      <c r="Q44" s="48" t="inlineStr">
        <is>
          <t>M2</t>
        </is>
      </c>
      <c r="R44" s="48" t="inlineStr">
        <is>
          <t>M3</t>
        </is>
      </c>
      <c r="S44" s="48" t="inlineStr">
        <is>
          <t>M4</t>
        </is>
      </c>
      <c r="T44" s="48" t="inlineStr">
        <is>
          <t>M5</t>
        </is>
      </c>
      <c r="U44" s="48" t="inlineStr">
        <is>
          <t>M6</t>
        </is>
      </c>
      <c r="V44" s="48" t="inlineStr">
        <is>
          <t>M7</t>
        </is>
      </c>
      <c r="W44" s="48" t="inlineStr">
        <is>
          <t>M8</t>
        </is>
      </c>
      <c r="X44" s="48" t="inlineStr">
        <is>
          <t>M9</t>
        </is>
      </c>
      <c r="Y44" s="48" t="inlineStr">
        <is>
          <t>M10</t>
        </is>
      </c>
      <c r="Z44" s="48" t="inlineStr">
        <is>
          <t>M11</t>
        </is>
      </c>
      <c r="AA44" s="48" t="inlineStr">
        <is>
          <t>M12</t>
        </is>
      </c>
      <c r="AB44" s="48" t="inlineStr">
        <is>
          <t>Year 2</t>
        </is>
      </c>
      <c r="AC44" s="48" t="inlineStr">
        <is>
          <t>M1</t>
        </is>
      </c>
      <c r="AD44" s="48" t="inlineStr">
        <is>
          <t>M2</t>
        </is>
      </c>
      <c r="AE44" s="48" t="inlineStr">
        <is>
          <t>M3</t>
        </is>
      </c>
      <c r="AF44" s="48" t="inlineStr">
        <is>
          <t>M4</t>
        </is>
      </c>
      <c r="AG44" s="48" t="inlineStr">
        <is>
          <t>M5</t>
        </is>
      </c>
      <c r="AH44" s="48" t="inlineStr">
        <is>
          <t>M6</t>
        </is>
      </c>
      <c r="AI44" s="48" t="inlineStr">
        <is>
          <t>M7</t>
        </is>
      </c>
      <c r="AJ44" s="48" t="inlineStr">
        <is>
          <t>M8</t>
        </is>
      </c>
      <c r="AK44" s="48" t="inlineStr">
        <is>
          <t>M9</t>
        </is>
      </c>
      <c r="AL44" s="48" t="inlineStr">
        <is>
          <t>M10</t>
        </is>
      </c>
      <c r="AM44" s="48" t="inlineStr">
        <is>
          <t>M11</t>
        </is>
      </c>
      <c r="AN44" s="48" t="inlineStr">
        <is>
          <t>M12</t>
        </is>
      </c>
      <c r="AO44" s="48" t="inlineStr">
        <is>
          <t>Year 3</t>
        </is>
      </c>
      <c r="AP44" s="48" t="inlineStr">
        <is>
          <t>M1</t>
        </is>
      </c>
      <c r="AQ44" s="48" t="inlineStr">
        <is>
          <t>M2</t>
        </is>
      </c>
      <c r="AR44" s="48" t="inlineStr">
        <is>
          <t>M3</t>
        </is>
      </c>
      <c r="AS44" s="48" t="inlineStr">
        <is>
          <t>M4</t>
        </is>
      </c>
      <c r="AT44" s="48" t="inlineStr">
        <is>
          <t>M5</t>
        </is>
      </c>
      <c r="AU44" s="48" t="inlineStr">
        <is>
          <t>M6</t>
        </is>
      </c>
      <c r="AV44" s="48" t="inlineStr">
        <is>
          <t>M7</t>
        </is>
      </c>
      <c r="AW44" s="48" t="inlineStr">
        <is>
          <t>M8</t>
        </is>
      </c>
      <c r="AX44" s="48" t="inlineStr">
        <is>
          <t>M9</t>
        </is>
      </c>
      <c r="AY44" s="48" t="inlineStr">
        <is>
          <t>M10</t>
        </is>
      </c>
      <c r="AZ44" s="48" t="inlineStr">
        <is>
          <t>M11</t>
        </is>
      </c>
      <c r="BA44" s="48" t="inlineStr">
        <is>
          <t>M12</t>
        </is>
      </c>
      <c r="BB44" s="48" t="inlineStr">
        <is>
          <t>Year 4</t>
        </is>
      </c>
      <c r="BC44" s="48" t="inlineStr">
        <is>
          <t>M1</t>
        </is>
      </c>
      <c r="BD44" s="48" t="inlineStr">
        <is>
          <t>M2</t>
        </is>
      </c>
      <c r="BE44" s="48" t="inlineStr">
        <is>
          <t>M3</t>
        </is>
      </c>
      <c r="BF44" s="48" t="inlineStr">
        <is>
          <t>M4</t>
        </is>
      </c>
      <c r="BG44" s="48" t="inlineStr">
        <is>
          <t>M5</t>
        </is>
      </c>
      <c r="BH44" s="48" t="inlineStr">
        <is>
          <t>M6</t>
        </is>
      </c>
      <c r="BI44" s="48" t="inlineStr">
        <is>
          <t>M7</t>
        </is>
      </c>
      <c r="BJ44" s="48" t="inlineStr">
        <is>
          <t>M8</t>
        </is>
      </c>
      <c r="BK44" s="48" t="inlineStr">
        <is>
          <t>M9</t>
        </is>
      </c>
      <c r="BL44" s="48" t="inlineStr">
        <is>
          <t>M10</t>
        </is>
      </c>
      <c r="BM44" s="48" t="inlineStr">
        <is>
          <t>M11</t>
        </is>
      </c>
      <c r="BN44" s="48" t="inlineStr">
        <is>
          <t>M12</t>
        </is>
      </c>
      <c r="BO44" s="48" t="inlineStr">
        <is>
          <t>Year 5</t>
        </is>
      </c>
    </row>
    <row r="45" ht="15" customHeight="1">
      <c r="A45" s="44" t="inlineStr">
        <is>
          <t>Assets</t>
        </is>
      </c>
    </row>
    <row r="46" ht="15" customHeight="1">
      <c r="A46" s="49" t="inlineStr">
        <is>
          <t>Cash</t>
        </is>
      </c>
      <c r="B46" s="50">
        <f>Assumptions!E12</f>
        <v>29999.700000000001</v>
      </c>
      <c r="C46" s="50">
        <f>$B46+($O46-$B46)*1/12</f>
        <v>36833.410052563544</v>
      </c>
      <c r="D46" s="50">
        <f>$B46+($O46-$B46)*2/12</f>
        <v>43667.120105127091</v>
      </c>
      <c r="E46" s="50">
        <f>$B46+($O46-$B46)*3/12</f>
        <v>50500.830157690638</v>
      </c>
      <c r="F46" s="50">
        <f>$B46+($O46-$B46)*4/12</f>
        <v>57334.540210254185</v>
      </c>
      <c r="G46" s="50">
        <f>$B46+($O46-$B46)*5/12</f>
        <v>64168.250262817732</v>
      </c>
      <c r="H46" s="50">
        <f>$B46+($O46-$B46)*6/12</f>
        <v>71001.960315381279</v>
      </c>
      <c r="I46" s="50">
        <f>$B46+($O46-$B46)*7/12</f>
        <v>77835.670367944826</v>
      </c>
      <c r="J46" s="50">
        <f>$B46+($O46-$B46)*8/12</f>
        <v>84669.380420508372</v>
      </c>
      <c r="K46" s="50">
        <f>$B46+($O46-$B46)*9/12</f>
        <v>91503.090473071919</v>
      </c>
      <c r="L46" s="50">
        <f>$B46+($O46-$B46)*10/12</f>
        <v>98336.800525635452</v>
      </c>
      <c r="M46" s="50">
        <f>$B46+($O46-$B46)*11/12</f>
        <v>105170.510578199</v>
      </c>
      <c r="N46" s="50">
        <f>$B46+($O46-$B46)*12/12</f>
        <v>112004.22063076255</v>
      </c>
      <c r="O46" s="50">
        <f>B46+O36+O27-((O7*Assumptions!E104)-(0))-((Assumptions!E32)-(IFERROR(Assumptions!E32*(1+Assumptions!E30)^1-(PMT(Assumptions!E30,Assumptions!E31,-Assumptions!E32))*(((1+Assumptions!E30)^1-1)/Assumptions!E30),Assumptions!E32)))-((Assumptions!E17)-(IFERROR(Assumptions!E17*(1+Assumptions!E18)^1-(PMT(Assumptions!E18,Assumptions!E19,-Assumptions!E17))*(((1+Assumptions!E18)^1-1)/Assumptions!E18),Assumptions!E17)))-O39</f>
        <v>112004.22063076255</v>
      </c>
      <c r="P46" s="50">
        <f>$O46+($AB46-$O46)*1/12</f>
        <v>115012.2295641329</v>
      </c>
      <c r="Q46" s="50">
        <f>$O46+($AB46-$O46)*2/12</f>
        <v>118020.23849750325</v>
      </c>
      <c r="R46" s="50">
        <f>$O46+($AB46-$O46)*3/12</f>
        <v>121028.2474308736</v>
      </c>
      <c r="S46" s="50">
        <f>$O46+($AB46-$O46)*4/12</f>
        <v>124036.25636424393</v>
      </c>
      <c r="T46" s="50">
        <f>$O46+($AB46-$O46)*5/12</f>
        <v>127044.26529761429</v>
      </c>
      <c r="U46" s="50">
        <f>$O46+($AB46-$O46)*6/12</f>
        <v>130052.27423098464</v>
      </c>
      <c r="V46" s="50">
        <f>$O46+($AB46-$O46)*7/12</f>
        <v>133060.28316435497</v>
      </c>
      <c r="W46" s="50">
        <f>$O46+($AB46-$O46)*8/12</f>
        <v>136068.29209772532</v>
      </c>
      <c r="X46" s="50">
        <f>$O46+($AB46-$O46)*9/12</f>
        <v>139076.30103109567</v>
      </c>
      <c r="Y46" s="50">
        <f>$O46+($AB46-$O46)*10/12</f>
        <v>142084.30996446603</v>
      </c>
      <c r="Z46" s="50">
        <f>$O46+($AB46-$O46)*11/12</f>
        <v>145092.31889783638</v>
      </c>
      <c r="AA46" s="50">
        <f>$O46+($AB46-$O46)*12/12</f>
        <v>148100.32783120673</v>
      </c>
      <c r="AB46" s="50">
        <f>O46+AB36+AB27-((AB7*Assumptions!E104)-(O7*Assumptions!E104))-((IFERROR(Assumptions!E32*(1+Assumptions!E30)^1-(PMT(Assumptions!E30,Assumptions!E31,-Assumptions!E32))*(((1+Assumptions!E30)^1-1)/Assumptions!E30),Assumptions!E32))-(IFERROR(Assumptions!E32*(1+Assumptions!E30)^2-(PMT(Assumptions!E30,Assumptions!E31,-Assumptions!E32))*(((1+Assumptions!E30)^2-1)/Assumptions!E30),Assumptions!E32)))-((IFERROR(Assumptions!E17*(1+Assumptions!E18)^1-(PMT(Assumptions!E18,Assumptions!E19,-Assumptions!E17))*(((1+Assumptions!E18)^1-1)/Assumptions!E18),Assumptions!E17))-(IFERROR(Assumptions!E17*(1+Assumptions!E18)^2-(PMT(Assumptions!E18,Assumptions!E19,-Assumptions!E17))*(((1+Assumptions!E18)^2-1)/Assumptions!E18),Assumptions!E17)))-AB39</f>
        <v>148100.32783120673</v>
      </c>
      <c r="AC46" s="50">
        <f>$AB46+($AO46-$AB46)*1/12</f>
        <v>151516.03083167243</v>
      </c>
      <c r="AD46" s="50">
        <f>$AB46+($AO46-$AB46)*2/12</f>
        <v>154931.73383213815</v>
      </c>
      <c r="AE46" s="50">
        <f>$AB46+($AO46-$AB46)*3/12</f>
        <v>158347.43683260385</v>
      </c>
      <c r="AF46" s="50">
        <f>$AB46+($AO46-$AB46)*4/12</f>
        <v>161763.13983306955</v>
      </c>
      <c r="AG46" s="50">
        <f>$AB46+($AO46-$AB46)*5/12</f>
        <v>165178.84283353528</v>
      </c>
      <c r="AH46" s="50">
        <f>$AB46+($AO46-$AB46)*6/12</f>
        <v>168594.54583400098</v>
      </c>
      <c r="AI46" s="50">
        <f>$AB46+($AO46-$AB46)*7/12</f>
        <v>172010.24883446668</v>
      </c>
      <c r="AJ46" s="50">
        <f>$AB46+($AO46-$AB46)*8/12</f>
        <v>175425.95183493241</v>
      </c>
      <c r="AK46" s="50">
        <f>$AB46+($AO46-$AB46)*9/12</f>
        <v>178841.65483539811</v>
      </c>
      <c r="AL46" s="50">
        <f>$AB46+($AO46-$AB46)*10/12</f>
        <v>182257.3578358638</v>
      </c>
      <c r="AM46" s="50">
        <f>$AB46+($AO46-$AB46)*11/12</f>
        <v>185673.06083632953</v>
      </c>
      <c r="AN46" s="50">
        <f>$AB46+($AO46-$AB46)*12/12</f>
        <v>189088.76383679523</v>
      </c>
      <c r="AO46" s="50">
        <f>AB46+AO36+AO27-((AO7*Assumptions!E104)-(AB7*Assumptions!E104))-((IFERROR(Assumptions!E32*(1+Assumptions!E30)^2-(PMT(Assumptions!E30,Assumptions!E31,-Assumptions!E32))*(((1+Assumptions!E30)^2-1)/Assumptions!E30),Assumptions!E32))-(IFERROR(Assumptions!E32*(1+Assumptions!E30)^3-(PMT(Assumptions!E30,Assumptions!E31,-Assumptions!E32))*(((1+Assumptions!E30)^3-1)/Assumptions!E30),Assumptions!E32)))-((IFERROR(Assumptions!E17*(1+Assumptions!E18)^2-(PMT(Assumptions!E18,Assumptions!E19,-Assumptions!E17))*(((1+Assumptions!E18)^2-1)/Assumptions!E18),Assumptions!E17))-(IFERROR(Assumptions!E17*(1+Assumptions!E18)^3-(PMT(Assumptions!E18,Assumptions!E19,-Assumptions!E17))*(((1+Assumptions!E18)^3-1)/Assumptions!E18),Assumptions!E17)))-AO39</f>
        <v>189088.76383679523</v>
      </c>
      <c r="AP46" s="50">
        <f>$AO46+($BB46-$AO46)*1/12</f>
        <v>192913.03868897358</v>
      </c>
      <c r="AQ46" s="50">
        <f>$AO46+($BB46-$AO46)*2/12</f>
        <v>196737.31354115196</v>
      </c>
      <c r="AR46" s="50">
        <f>$AO46+($BB46-$AO46)*3/12</f>
        <v>200561.58839333031</v>
      </c>
      <c r="AS46" s="50">
        <f>$AO46+($BB46-$AO46)*4/12</f>
        <v>204385.86324550869</v>
      </c>
      <c r="AT46" s="50">
        <f>$AO46+($BB46-$AO46)*5/12</f>
        <v>208210.13809768704</v>
      </c>
      <c r="AU46" s="50">
        <f>$AO46+($BB46-$AO46)*6/12</f>
        <v>212034.41294986539</v>
      </c>
      <c r="AV46" s="50">
        <f>$AO46+($BB46-$AO46)*7/12</f>
        <v>215858.68780204377</v>
      </c>
      <c r="AW46" s="50">
        <f>$AO46+($BB46-$AO46)*8/12</f>
        <v>219682.96265422212</v>
      </c>
      <c r="AX46" s="50">
        <f>$AO46+($BB46-$AO46)*9/12</f>
        <v>223507.2375064005</v>
      </c>
      <c r="AY46" s="50">
        <f>$AO46+($BB46-$AO46)*10/12</f>
        <v>227331.51235857885</v>
      </c>
      <c r="AZ46" s="50">
        <f>$AO46+($BB46-$AO46)*11/12</f>
        <v>231155.78721075723</v>
      </c>
      <c r="BA46" s="50">
        <f>$AO46+($BB46-$AO46)*12/12</f>
        <v>234980.06206293558</v>
      </c>
      <c r="BB46" s="50">
        <f>AO46+BB36+BB27-((BB7*Assumptions!E104)-(AO7*Assumptions!E104))-((IFERROR(Assumptions!E32*(1+Assumptions!E30)^3-(PMT(Assumptions!E30,Assumptions!E31,-Assumptions!E32))*(((1+Assumptions!E30)^3-1)/Assumptions!E30),Assumptions!E32))-(IFERROR(Assumptions!E32*(1+Assumptions!E30)^4-(PMT(Assumptions!E30,Assumptions!E31,-Assumptions!E32))*(((1+Assumptions!E30)^4-1)/Assumptions!E30),Assumptions!E32)))-((IFERROR(Assumptions!E17*(1+Assumptions!E18)^3-(PMT(Assumptions!E18,Assumptions!E19,-Assumptions!E17))*(((1+Assumptions!E18)^3-1)/Assumptions!E18),Assumptions!E17))-(IFERROR(Assumptions!E17*(1+Assumptions!E18)^4-(PMT(Assumptions!E18,Assumptions!E19,-Assumptions!E17))*(((1+Assumptions!E18)^4-1)/Assumptions!E18),Assumptions!E17)))-BB39</f>
        <v>234980.06206293558</v>
      </c>
      <c r="BC46" s="50">
        <f>$BB46+($BO46-$BB46)*1/12</f>
        <v>239211.49234640502</v>
      </c>
      <c r="BD46" s="50">
        <f>$BB46+($BO46-$BB46)*2/12</f>
        <v>243442.92262987449</v>
      </c>
      <c r="BE46" s="50">
        <f>$BB46+($BO46-$BB46)*3/12</f>
        <v>247674.35291334393</v>
      </c>
      <c r="BF46" s="50">
        <f>$BB46+($BO46-$BB46)*4/12</f>
        <v>251905.7831968134</v>
      </c>
      <c r="BG46" s="50">
        <f>$BB46+($BO46-$BB46)*5/12</f>
        <v>256137.21348028284</v>
      </c>
      <c r="BH46" s="50">
        <f>$BB46+($BO46-$BB46)*6/12</f>
        <v>260368.6437637523</v>
      </c>
      <c r="BI46" s="50">
        <f>$BB46+($BO46-$BB46)*7/12</f>
        <v>264600.07404722174</v>
      </c>
      <c r="BJ46" s="50">
        <f>$BB46+($BO46-$BB46)*8/12</f>
        <v>268831.50433069118</v>
      </c>
      <c r="BK46" s="50">
        <f>$BB46+($BO46-$BB46)*9/12</f>
        <v>273062.93461416062</v>
      </c>
      <c r="BL46" s="50">
        <f>$BB46+($BO46-$BB46)*10/12</f>
        <v>277294.36489763012</v>
      </c>
      <c r="BM46" s="50">
        <f>$BB46+($BO46-$BB46)*11/12</f>
        <v>281525.79518109956</v>
      </c>
      <c r="BN46" s="50">
        <f>$BB46+($BO46-$BB46)*12/12</f>
        <v>285757.225464569</v>
      </c>
      <c r="BO46" s="50">
        <f>BB46+BO36+BO27-((BO7*Assumptions!E104)-(BB7*Assumptions!E104))-((IFERROR(Assumptions!E32*(1+Assumptions!E30)^4-(PMT(Assumptions!E30,Assumptions!E31,-Assumptions!E32))*(((1+Assumptions!E30)^4-1)/Assumptions!E30),Assumptions!E32))-(IFERROR(Assumptions!E32*(1+Assumptions!E30)^5-(PMT(Assumptions!E30,Assumptions!E31,-Assumptions!E32))*(((1+Assumptions!E30)^5-1)/Assumptions!E30),Assumptions!E32)))-((IFERROR(Assumptions!E17*(1+Assumptions!E18)^4-(PMT(Assumptions!E18,Assumptions!E19,-Assumptions!E17))*(((1+Assumptions!E18)^4-1)/Assumptions!E18),Assumptions!E17))-(IFERROR(Assumptions!E17*(1+Assumptions!E18)^5-(PMT(Assumptions!E18,Assumptions!E19,-Assumptions!E17))*(((1+Assumptions!E18)^5-1)/Assumptions!E18),Assumptions!E17)))-BO39</f>
        <v>285757.225464569</v>
      </c>
    </row>
    <row r="47" ht="15" customHeight="1">
      <c r="A47" s="49" t="inlineStr">
        <is>
          <t>Net Working Capital (Ex-Cash)</t>
        </is>
      </c>
      <c r="B47" s="50">
        <f>0</f>
        <v>0</v>
      </c>
      <c r="C47" s="50">
        <f>$B47+($O47-$B47)*1/12</f>
        <v>-410.45564862499992</v>
      </c>
      <c r="D47" s="50">
        <f>$B47+($O47-$B47)*2/12</f>
        <v>-820.91129724999985</v>
      </c>
      <c r="E47" s="50">
        <f>$B47+($O47-$B47)*3/12</f>
        <v>-1231.3669458749998</v>
      </c>
      <c r="F47" s="50">
        <f>$B47+($O47-$B47)*4/12</f>
        <v>-1641.8225944999997</v>
      </c>
      <c r="G47" s="50">
        <f>$B47+($O47-$B47)*5/12</f>
        <v>-2052.2782431249998</v>
      </c>
      <c r="H47" s="50">
        <f>$B47+($O47-$B47)*6/12</f>
        <v>-2462.7338917499997</v>
      </c>
      <c r="I47" s="50">
        <f>$B47+($O47-$B47)*7/12</f>
        <v>-2873.189540375</v>
      </c>
      <c r="J47" s="50">
        <f>$B47+($O47-$B47)*8/12</f>
        <v>-3283.6451889999994</v>
      </c>
      <c r="K47" s="50">
        <f>$B47+($O47-$B47)*9/12</f>
        <v>-3694.1008376249993</v>
      </c>
      <c r="L47" s="50">
        <f>$B47+($O47-$B47)*10/12</f>
        <v>-4104.5564862499996</v>
      </c>
      <c r="M47" s="50">
        <f>$B47+($O47-$B47)*11/12</f>
        <v>-4515.012134874999</v>
      </c>
      <c r="N47" s="50">
        <f>$B47+($O47-$B47)*12/12</f>
        <v>-4925.4677834999993</v>
      </c>
      <c r="O47" s="50">
        <f>O7*Assumptions!E104</f>
        <v>-4925.4677834999993</v>
      </c>
      <c r="P47" s="50">
        <f>$O47+($AB47-$O47)*1/12</f>
        <v>-4943.9382876881245</v>
      </c>
      <c r="Q47" s="50">
        <f>$O47+($AB47-$O47)*2/12</f>
        <v>-4962.4087918762489</v>
      </c>
      <c r="R47" s="50">
        <f>$O47+($AB47-$O47)*3/12</f>
        <v>-4980.8792960643741</v>
      </c>
      <c r="S47" s="50">
        <f>$O47+($AB47-$O47)*4/12</f>
        <v>-4999.3498002524993</v>
      </c>
      <c r="T47" s="50">
        <f>$O47+($AB47-$O47)*5/12</f>
        <v>-5017.8203044406237</v>
      </c>
      <c r="U47" s="50">
        <f>$O47+($AB47-$O47)*6/12</f>
        <v>-5036.2908086287489</v>
      </c>
      <c r="V47" s="50">
        <f>$O47+($AB47-$O47)*7/12</f>
        <v>-5054.7613128168741</v>
      </c>
      <c r="W47" s="50">
        <f>$O47+($AB47-$O47)*8/12</f>
        <v>-5073.2318170049984</v>
      </c>
      <c r="X47" s="50">
        <f>$O47+($AB47-$O47)*9/12</f>
        <v>-5091.7023211931237</v>
      </c>
      <c r="Y47" s="50">
        <f>$O47+($AB47-$O47)*10/12</f>
        <v>-5110.1728253812489</v>
      </c>
      <c r="Z47" s="50">
        <f>$O47+($AB47-$O47)*11/12</f>
        <v>-5128.6433295693732</v>
      </c>
      <c r="AA47" s="50">
        <f>$O47+($AB47-$O47)*12/12</f>
        <v>-5147.1138337574985</v>
      </c>
      <c r="AB47" s="50">
        <f>AB7*Assumptions!E104</f>
        <v>-5147.1138337574985</v>
      </c>
      <c r="AC47" s="50">
        <f>$AB47+($AO47-$AB47)*1/12</f>
        <v>-5166.4155106340895</v>
      </c>
      <c r="AD47" s="50">
        <f>$AB47+($AO47-$AB47)*2/12</f>
        <v>-5185.7171875106797</v>
      </c>
      <c r="AE47" s="50">
        <f>$AB47+($AO47-$AB47)*3/12</f>
        <v>-5205.0188643872698</v>
      </c>
      <c r="AF47" s="50">
        <f>$AB47+($AO47-$AB47)*4/12</f>
        <v>-5224.3205412638608</v>
      </c>
      <c r="AG47" s="50">
        <f>$AB47+($AO47-$AB47)*5/12</f>
        <v>-5243.6222181404519</v>
      </c>
      <c r="AH47" s="50">
        <f>$AB47+($AO47-$AB47)*6/12</f>
        <v>-5262.923895017042</v>
      </c>
      <c r="AI47" s="50">
        <f>$AB47+($AO47-$AB47)*7/12</f>
        <v>-5282.2255718936322</v>
      </c>
      <c r="AJ47" s="50">
        <f>$AB47+($AO47-$AB47)*8/12</f>
        <v>-5301.5272487702232</v>
      </c>
      <c r="AK47" s="50">
        <f>$AB47+($AO47-$AB47)*9/12</f>
        <v>-5320.8289256468142</v>
      </c>
      <c r="AL47" s="50">
        <f>$AB47+($AO47-$AB47)*10/12</f>
        <v>-5340.1306025234044</v>
      </c>
      <c r="AM47" s="50">
        <f>$AB47+($AO47-$AB47)*11/12</f>
        <v>-5359.4322793999945</v>
      </c>
      <c r="AN47" s="50">
        <f>$AB47+($AO47-$AB47)*12/12</f>
        <v>-5378.7339562765856</v>
      </c>
      <c r="AO47" s="50">
        <f>AO7*Assumptions!E104</f>
        <v>-5378.7339562765856</v>
      </c>
      <c r="AP47" s="50">
        <f>$AO47+($BB47-$AO47)*1/12</f>
        <v>-5398.9042086126228</v>
      </c>
      <c r="AQ47" s="50">
        <f>$AO47+($BB47-$AO47)*2/12</f>
        <v>-5419.0744609486601</v>
      </c>
      <c r="AR47" s="50">
        <f>$AO47+($BB47-$AO47)*3/12</f>
        <v>-5439.2447132846974</v>
      </c>
      <c r="AS47" s="50">
        <f>$AO47+($BB47-$AO47)*4/12</f>
        <v>-5459.4149656207346</v>
      </c>
      <c r="AT47" s="50">
        <f>$AO47+($BB47-$AO47)*5/12</f>
        <v>-5479.5852179567719</v>
      </c>
      <c r="AU47" s="50">
        <f>$AO47+($BB47-$AO47)*6/12</f>
        <v>-5499.7554702928082</v>
      </c>
      <c r="AV47" s="50">
        <f>$AO47+($BB47-$AO47)*7/12</f>
        <v>-5519.9257226288455</v>
      </c>
      <c r="AW47" s="50">
        <f>$AO47+($BB47-$AO47)*8/12</f>
        <v>-5540.0959749648828</v>
      </c>
      <c r="AX47" s="50">
        <f>$AO47+($BB47-$AO47)*9/12</f>
        <v>-5560.26622730092</v>
      </c>
      <c r="AY47" s="50">
        <f>$AO47+($BB47-$AO47)*10/12</f>
        <v>-5580.4364796369573</v>
      </c>
      <c r="AZ47" s="50">
        <f>$AO47+($BB47-$AO47)*11/12</f>
        <v>-5600.6067319729946</v>
      </c>
      <c r="BA47" s="50">
        <f>$AO47+($BB47-$AO47)*12/12</f>
        <v>-5620.7769843090318</v>
      </c>
      <c r="BB47" s="50">
        <f>BB7*Assumptions!E104</f>
        <v>-5620.7769843090318</v>
      </c>
      <c r="BC47" s="50">
        <f>$BB47+($BO47-$BB47)*1/12</f>
        <v>-5641.8548980001906</v>
      </c>
      <c r="BD47" s="50">
        <f>$BB47+($BO47-$BB47)*2/12</f>
        <v>-5662.9328116913493</v>
      </c>
      <c r="BE47" s="50">
        <f>$BB47+($BO47-$BB47)*3/12</f>
        <v>-5684.0107253825081</v>
      </c>
      <c r="BF47" s="50">
        <f>$BB47+($BO47-$BB47)*4/12</f>
        <v>-5705.0886390736669</v>
      </c>
      <c r="BG47" s="50">
        <f>$BB47+($BO47-$BB47)*5/12</f>
        <v>-5726.1665527648256</v>
      </c>
      <c r="BH47" s="50">
        <f>$BB47+($BO47-$BB47)*6/12</f>
        <v>-5747.2444664559844</v>
      </c>
      <c r="BI47" s="50">
        <f>$BB47+($BO47-$BB47)*7/12</f>
        <v>-5768.322380147144</v>
      </c>
      <c r="BJ47" s="50">
        <f>$BB47+($BO47-$BB47)*8/12</f>
        <v>-5789.4002938383028</v>
      </c>
      <c r="BK47" s="50">
        <f>$BB47+($BO47-$BB47)*9/12</f>
        <v>-5810.4782075294615</v>
      </c>
      <c r="BL47" s="50">
        <f>$BB47+($BO47-$BB47)*10/12</f>
        <v>-5831.5561212206203</v>
      </c>
      <c r="BM47" s="50">
        <f>$BB47+($BO47-$BB47)*11/12</f>
        <v>-5852.6340349117791</v>
      </c>
      <c r="BN47" s="50">
        <f>$BB47+($BO47-$BB47)*12/12</f>
        <v>-5873.7119486029378</v>
      </c>
      <c r="BO47" s="50">
        <f>BO7*Assumptions!E104</f>
        <v>-5873.7119486029378</v>
      </c>
    </row>
    <row r="48" ht="15" customHeight="1">
      <c r="A48" s="60" t="inlineStr">
        <is>
          <t>Total Current Assets</t>
        </is>
      </c>
      <c r="B48" s="52">
        <f>B46+B47</f>
        <v>29999.700000000001</v>
      </c>
      <c r="C48" s="52">
        <f>C46+C47</f>
        <v>36422.954403938544</v>
      </c>
      <c r="D48" s="52">
        <f>D46+D47</f>
        <v>42846.20880787709</v>
      </c>
      <c r="E48" s="52">
        <f>E46+E47</f>
        <v>49269.463211815637</v>
      </c>
      <c r="F48" s="52">
        <f>F46+F47</f>
        <v>55692.717615754183</v>
      </c>
      <c r="G48" s="52">
        <f>G46+G47</f>
        <v>62115.97201969273</v>
      </c>
      <c r="H48" s="52">
        <f>H46+H47</f>
        <v>68539.226423631277</v>
      </c>
      <c r="I48" s="52">
        <f>I46+I47</f>
        <v>74962.480827569831</v>
      </c>
      <c r="J48" s="52">
        <f>J46+J47</f>
        <v>81385.73523150837</v>
      </c>
      <c r="K48" s="52">
        <f>K46+K47</f>
        <v>87808.989635446924</v>
      </c>
      <c r="L48" s="52">
        <f>L46+L47</f>
        <v>94232.244039385449</v>
      </c>
      <c r="M48" s="52">
        <f>M46+M47</f>
        <v>100655.498443324</v>
      </c>
      <c r="N48" s="52">
        <f>N46+N47</f>
        <v>107078.75284726254</v>
      </c>
      <c r="O48" s="52">
        <f>O46+O47</f>
        <v>107078.75284726254</v>
      </c>
      <c r="P48" s="52">
        <f>P46+P47</f>
        <v>110068.29127644477</v>
      </c>
      <c r="Q48" s="52">
        <f>Q46+Q47</f>
        <v>113057.82970562699</v>
      </c>
      <c r="R48" s="52">
        <f>R46+R47</f>
        <v>116047.36813480922</v>
      </c>
      <c r="S48" s="52">
        <f>S46+S47</f>
        <v>119036.90656399143</v>
      </c>
      <c r="T48" s="52">
        <f>T46+T47</f>
        <v>122026.44499317366</v>
      </c>
      <c r="U48" s="52">
        <f>U46+U47</f>
        <v>125015.98342235589</v>
      </c>
      <c r="V48" s="52">
        <f>V46+V47</f>
        <v>128005.5218515381</v>
      </c>
      <c r="W48" s="52">
        <f>W46+W47</f>
        <v>130995.06028072032</v>
      </c>
      <c r="X48" s="52">
        <f>X46+X47</f>
        <v>133984.59870990255</v>
      </c>
      <c r="Y48" s="52">
        <f>Y46+Y47</f>
        <v>136974.13713908478</v>
      </c>
      <c r="Z48" s="52">
        <f>Z46+Z47</f>
        <v>139963.675568267</v>
      </c>
      <c r="AA48" s="52">
        <f>AA46+AA47</f>
        <v>142953.21399744923</v>
      </c>
      <c r="AB48" s="52">
        <f>AB46+AB47</f>
        <v>142953.21399744923</v>
      </c>
      <c r="AC48" s="52">
        <f>AC46+AC47</f>
        <v>146349.61532103835</v>
      </c>
      <c r="AD48" s="52">
        <f>AD46+AD47</f>
        <v>149746.01664462747</v>
      </c>
      <c r="AE48" s="52">
        <f>AE46+AE47</f>
        <v>153142.41796821658</v>
      </c>
      <c r="AF48" s="52">
        <f>AF46+AF47</f>
        <v>156538.8192918057</v>
      </c>
      <c r="AG48" s="52">
        <f>AG46+AG47</f>
        <v>159935.22061539482</v>
      </c>
      <c r="AH48" s="52">
        <f>AH46+AH47</f>
        <v>163331.62193898394</v>
      </c>
      <c r="AI48" s="52">
        <f>AI46+AI47</f>
        <v>166728.02326257306</v>
      </c>
      <c r="AJ48" s="52">
        <f>AJ46+AJ47</f>
        <v>170124.42458616217</v>
      </c>
      <c r="AK48" s="52">
        <f>AK46+AK47</f>
        <v>173520.82590975129</v>
      </c>
      <c r="AL48" s="52">
        <f>AL46+AL47</f>
        <v>176917.22723334041</v>
      </c>
      <c r="AM48" s="52">
        <f>AM46+AM47</f>
        <v>180313.62855692953</v>
      </c>
      <c r="AN48" s="52">
        <f>AN46+AN47</f>
        <v>183710.02988051865</v>
      </c>
      <c r="AO48" s="52">
        <f>AO46+AO47</f>
        <v>183710.02988051865</v>
      </c>
      <c r="AP48" s="52">
        <f>AP46+AP47</f>
        <v>187514.13448036095</v>
      </c>
      <c r="AQ48" s="52">
        <f>AQ46+AQ47</f>
        <v>191318.23908020329</v>
      </c>
      <c r="AR48" s="52">
        <f>AR46+AR47</f>
        <v>195122.34368004563</v>
      </c>
      <c r="AS48" s="52">
        <f>AS46+AS47</f>
        <v>198926.44827988796</v>
      </c>
      <c r="AT48" s="52">
        <f>AT46+AT47</f>
        <v>202730.55287973027</v>
      </c>
      <c r="AU48" s="52">
        <f>AU46+AU47</f>
        <v>206534.65747957258</v>
      </c>
      <c r="AV48" s="52">
        <f>AV46+AV47</f>
        <v>210338.76207941494</v>
      </c>
      <c r="AW48" s="52">
        <f>AW46+AW47</f>
        <v>214142.86667925725</v>
      </c>
      <c r="AX48" s="52">
        <f>AX46+AX47</f>
        <v>217946.97127909958</v>
      </c>
      <c r="AY48" s="52">
        <f>AY46+AY47</f>
        <v>221751.07587894189</v>
      </c>
      <c r="AZ48" s="52">
        <f>AZ46+AZ47</f>
        <v>225555.18047878423</v>
      </c>
      <c r="BA48" s="52">
        <f>BA46+BA47</f>
        <v>229359.28507862656</v>
      </c>
      <c r="BB48" s="52">
        <f>BB46+BB47</f>
        <v>229359.28507862656</v>
      </c>
      <c r="BC48" s="52">
        <f>BC46+BC47</f>
        <v>233569.63744840483</v>
      </c>
      <c r="BD48" s="52">
        <f>BD46+BD47</f>
        <v>237779.98981818315</v>
      </c>
      <c r="BE48" s="52">
        <f>BE46+BE47</f>
        <v>241990.34218796142</v>
      </c>
      <c r="BF48" s="52">
        <f>BF46+BF47</f>
        <v>246200.69455773974</v>
      </c>
      <c r="BG48" s="52">
        <f>BG46+BG47</f>
        <v>250411.04692751801</v>
      </c>
      <c r="BH48" s="52">
        <f>BH46+BH47</f>
        <v>254621.39929729633</v>
      </c>
      <c r="BI48" s="52">
        <f>BI46+BI47</f>
        <v>258831.7516670746</v>
      </c>
      <c r="BJ48" s="52">
        <f>BJ46+BJ47</f>
        <v>263042.10403685289</v>
      </c>
      <c r="BK48" s="52">
        <f>BK46+BK47</f>
        <v>267252.45640663116</v>
      </c>
      <c r="BL48" s="52">
        <f>BL46+BL47</f>
        <v>271462.80877640948</v>
      </c>
      <c r="BM48" s="52">
        <f>BM46+BM47</f>
        <v>275673.16114618781</v>
      </c>
      <c r="BN48" s="52">
        <f>BN46+BN47</f>
        <v>279883.51351596607</v>
      </c>
      <c r="BO48" s="52">
        <f>BO46+BO47</f>
        <v>279883.51351596607</v>
      </c>
    </row>
    <row r="49" ht="15" customHeight="1">
      <c r="A49" s="49" t="inlineStr">
        <is>
          <t>Fixed Assets, Net</t>
        </is>
      </c>
      <c r="B49" s="50">
        <f>Assumptions!E94</f>
        <v>0</v>
      </c>
      <c r="C49" s="50">
        <f>$B49+($O49-$B49)*1/12</f>
        <v>0</v>
      </c>
      <c r="D49" s="50">
        <f>$B49+($O49-$B49)*2/12</f>
        <v>0</v>
      </c>
      <c r="E49" s="50">
        <f>$B49+($O49-$B49)*3/12</f>
        <v>0</v>
      </c>
      <c r="F49" s="50">
        <f>$B49+($O49-$B49)*4/12</f>
        <v>0</v>
      </c>
      <c r="G49" s="50">
        <f>$B49+($O49-$B49)*5/12</f>
        <v>0</v>
      </c>
      <c r="H49" s="50">
        <f>$B49+($O49-$B49)*6/12</f>
        <v>0</v>
      </c>
      <c r="I49" s="50">
        <f>$B49+($O49-$B49)*7/12</f>
        <v>0</v>
      </c>
      <c r="J49" s="50">
        <f>$B49+($O49-$B49)*8/12</f>
        <v>0</v>
      </c>
      <c r="K49" s="50">
        <f>$B49+($O49-$B49)*9/12</f>
        <v>0</v>
      </c>
      <c r="L49" s="50">
        <f>$B49+($O49-$B49)*10/12</f>
        <v>0</v>
      </c>
      <c r="M49" s="50">
        <f>$B49+($O49-$B49)*11/12</f>
        <v>0</v>
      </c>
      <c r="N49" s="50">
        <f>$B49+($O49-$B49)*12/12</f>
        <v>0</v>
      </c>
      <c r="O49" s="50">
        <f>MAX(0,Assumptions!E94-Assumptions!E99*1)</f>
        <v>0</v>
      </c>
      <c r="P49" s="50">
        <f>$O49+($AB49-$O49)*1/12</f>
        <v>0</v>
      </c>
      <c r="Q49" s="50">
        <f>$O49+($AB49-$O49)*2/12</f>
        <v>0</v>
      </c>
      <c r="R49" s="50">
        <f>$O49+($AB49-$O49)*3/12</f>
        <v>0</v>
      </c>
      <c r="S49" s="50">
        <f>$O49+($AB49-$O49)*4/12</f>
        <v>0</v>
      </c>
      <c r="T49" s="50">
        <f>$O49+($AB49-$O49)*5/12</f>
        <v>0</v>
      </c>
      <c r="U49" s="50">
        <f>$O49+($AB49-$O49)*6/12</f>
        <v>0</v>
      </c>
      <c r="V49" s="50">
        <f>$O49+($AB49-$O49)*7/12</f>
        <v>0</v>
      </c>
      <c r="W49" s="50">
        <f>$O49+($AB49-$O49)*8/12</f>
        <v>0</v>
      </c>
      <c r="X49" s="50">
        <f>$O49+($AB49-$O49)*9/12</f>
        <v>0</v>
      </c>
      <c r="Y49" s="50">
        <f>$O49+($AB49-$O49)*10/12</f>
        <v>0</v>
      </c>
      <c r="Z49" s="50">
        <f>$O49+($AB49-$O49)*11/12</f>
        <v>0</v>
      </c>
      <c r="AA49" s="50">
        <f>$O49+($AB49-$O49)*12/12</f>
        <v>0</v>
      </c>
      <c r="AB49" s="50">
        <f>MAX(0,Assumptions!E94-Assumptions!E99*2)</f>
        <v>0</v>
      </c>
      <c r="AC49" s="50">
        <f>$AB49+($AO49-$AB49)*1/12</f>
        <v>0</v>
      </c>
      <c r="AD49" s="50">
        <f>$AB49+($AO49-$AB49)*2/12</f>
        <v>0</v>
      </c>
      <c r="AE49" s="50">
        <f>$AB49+($AO49-$AB49)*3/12</f>
        <v>0</v>
      </c>
      <c r="AF49" s="50">
        <f>$AB49+($AO49-$AB49)*4/12</f>
        <v>0</v>
      </c>
      <c r="AG49" s="50">
        <f>$AB49+($AO49-$AB49)*5/12</f>
        <v>0</v>
      </c>
      <c r="AH49" s="50">
        <f>$AB49+($AO49-$AB49)*6/12</f>
        <v>0</v>
      </c>
      <c r="AI49" s="50">
        <f>$AB49+($AO49-$AB49)*7/12</f>
        <v>0</v>
      </c>
      <c r="AJ49" s="50">
        <f>$AB49+($AO49-$AB49)*8/12</f>
        <v>0</v>
      </c>
      <c r="AK49" s="50">
        <f>$AB49+($AO49-$AB49)*9/12</f>
        <v>0</v>
      </c>
      <c r="AL49" s="50">
        <f>$AB49+($AO49-$AB49)*10/12</f>
        <v>0</v>
      </c>
      <c r="AM49" s="50">
        <f>$AB49+($AO49-$AB49)*11/12</f>
        <v>0</v>
      </c>
      <c r="AN49" s="50">
        <f>$AB49+($AO49-$AB49)*12/12</f>
        <v>0</v>
      </c>
      <c r="AO49" s="50">
        <f>MAX(0,Assumptions!E94-Assumptions!E99*3)</f>
        <v>0</v>
      </c>
      <c r="AP49" s="50">
        <f>$AO49+($BB49-$AO49)*1/12</f>
        <v>0</v>
      </c>
      <c r="AQ49" s="50">
        <f>$AO49+($BB49-$AO49)*2/12</f>
        <v>0</v>
      </c>
      <c r="AR49" s="50">
        <f>$AO49+($BB49-$AO49)*3/12</f>
        <v>0</v>
      </c>
      <c r="AS49" s="50">
        <f>$AO49+($BB49-$AO49)*4/12</f>
        <v>0</v>
      </c>
      <c r="AT49" s="50">
        <f>$AO49+($BB49-$AO49)*5/12</f>
        <v>0</v>
      </c>
      <c r="AU49" s="50">
        <f>$AO49+($BB49-$AO49)*6/12</f>
        <v>0</v>
      </c>
      <c r="AV49" s="50">
        <f>$AO49+($BB49-$AO49)*7/12</f>
        <v>0</v>
      </c>
      <c r="AW49" s="50">
        <f>$AO49+($BB49-$AO49)*8/12</f>
        <v>0</v>
      </c>
      <c r="AX49" s="50">
        <f>$AO49+($BB49-$AO49)*9/12</f>
        <v>0</v>
      </c>
      <c r="AY49" s="50">
        <f>$AO49+($BB49-$AO49)*10/12</f>
        <v>0</v>
      </c>
      <c r="AZ49" s="50">
        <f>$AO49+($BB49-$AO49)*11/12</f>
        <v>0</v>
      </c>
      <c r="BA49" s="50">
        <f>$AO49+($BB49-$AO49)*12/12</f>
        <v>0</v>
      </c>
      <c r="BB49" s="50">
        <f>MAX(0,Assumptions!E94-Assumptions!E99*4)</f>
        <v>0</v>
      </c>
      <c r="BC49" s="50">
        <f>$BB49+($BO49-$BB49)*1/12</f>
        <v>0</v>
      </c>
      <c r="BD49" s="50">
        <f>$BB49+($BO49-$BB49)*2/12</f>
        <v>0</v>
      </c>
      <c r="BE49" s="50">
        <f>$BB49+($BO49-$BB49)*3/12</f>
        <v>0</v>
      </c>
      <c r="BF49" s="50">
        <f>$BB49+($BO49-$BB49)*4/12</f>
        <v>0</v>
      </c>
      <c r="BG49" s="50">
        <f>$BB49+($BO49-$BB49)*5/12</f>
        <v>0</v>
      </c>
      <c r="BH49" s="50">
        <f>$BB49+($BO49-$BB49)*6/12</f>
        <v>0</v>
      </c>
      <c r="BI49" s="50">
        <f>$BB49+($BO49-$BB49)*7/12</f>
        <v>0</v>
      </c>
      <c r="BJ49" s="50">
        <f>$BB49+($BO49-$BB49)*8/12</f>
        <v>0</v>
      </c>
      <c r="BK49" s="50">
        <f>$BB49+($BO49-$BB49)*9/12</f>
        <v>0</v>
      </c>
      <c r="BL49" s="50">
        <f>$BB49+($BO49-$BB49)*10/12</f>
        <v>0</v>
      </c>
      <c r="BM49" s="50">
        <f>$BB49+($BO49-$BB49)*11/12</f>
        <v>0</v>
      </c>
      <c r="BN49" s="50">
        <f>$BB49+($BO49-$BB49)*12/12</f>
        <v>0</v>
      </c>
      <c r="BO49" s="50">
        <f>MAX(0,Assumptions!E94-Assumptions!E99*5)</f>
        <v>0</v>
      </c>
    </row>
    <row r="50" ht="15" customHeight="1">
      <c r="A50" s="49" t="inlineStr">
        <is>
          <t>Goodwill / Intangibles, Net</t>
        </is>
      </c>
      <c r="B50" s="50">
        <f>Assumptions!E95</f>
        <v>540000</v>
      </c>
      <c r="C50" s="50">
        <f>$B50+($O50-$B50)*1/12</f>
        <v>537000</v>
      </c>
      <c r="D50" s="50">
        <f>$B50+($O50-$B50)*2/12</f>
        <v>534000</v>
      </c>
      <c r="E50" s="50">
        <f>$B50+($O50-$B50)*3/12</f>
        <v>531000</v>
      </c>
      <c r="F50" s="50">
        <f>$B50+($O50-$B50)*4/12</f>
        <v>528000</v>
      </c>
      <c r="G50" s="50">
        <f>$B50+($O50-$B50)*5/12</f>
        <v>525000</v>
      </c>
      <c r="H50" s="50">
        <f>$B50+($O50-$B50)*6/12</f>
        <v>522000</v>
      </c>
      <c r="I50" s="50">
        <f>$B50+($O50-$B50)*7/12</f>
        <v>519000</v>
      </c>
      <c r="J50" s="50">
        <f>$B50+($O50-$B50)*8/12</f>
        <v>516000</v>
      </c>
      <c r="K50" s="50">
        <f>$B50+($O50-$B50)*9/12</f>
        <v>513000</v>
      </c>
      <c r="L50" s="50">
        <f>$B50+($O50-$B50)*10/12</f>
        <v>510000</v>
      </c>
      <c r="M50" s="50">
        <f>$B50+($O50-$B50)*11/12</f>
        <v>507000</v>
      </c>
      <c r="N50" s="50">
        <f>$B50+($O50-$B50)*12/12</f>
        <v>504000</v>
      </c>
      <c r="O50" s="50">
        <f>MAX(0,Assumptions!E95-Assumptions!E97*1)</f>
        <v>504000</v>
      </c>
      <c r="P50" s="50">
        <f>$O50+($AB50-$O50)*1/12</f>
        <v>501000</v>
      </c>
      <c r="Q50" s="50">
        <f>$O50+($AB50-$O50)*2/12</f>
        <v>498000</v>
      </c>
      <c r="R50" s="50">
        <f>$O50+($AB50-$O50)*3/12</f>
        <v>495000</v>
      </c>
      <c r="S50" s="50">
        <f>$O50+($AB50-$O50)*4/12</f>
        <v>492000</v>
      </c>
      <c r="T50" s="50">
        <f>$O50+($AB50-$O50)*5/12</f>
        <v>489000</v>
      </c>
      <c r="U50" s="50">
        <f>$O50+($AB50-$O50)*6/12</f>
        <v>486000</v>
      </c>
      <c r="V50" s="50">
        <f>$O50+($AB50-$O50)*7/12</f>
        <v>483000</v>
      </c>
      <c r="W50" s="50">
        <f>$O50+($AB50-$O50)*8/12</f>
        <v>480000</v>
      </c>
      <c r="X50" s="50">
        <f>$O50+($AB50-$O50)*9/12</f>
        <v>477000</v>
      </c>
      <c r="Y50" s="50">
        <f>$O50+($AB50-$O50)*10/12</f>
        <v>474000</v>
      </c>
      <c r="Z50" s="50">
        <f>$O50+($AB50-$O50)*11/12</f>
        <v>471000</v>
      </c>
      <c r="AA50" s="50">
        <f>$O50+($AB50-$O50)*12/12</f>
        <v>468000</v>
      </c>
      <c r="AB50" s="50">
        <f>MAX(0,Assumptions!E95-Assumptions!E97*2)</f>
        <v>468000</v>
      </c>
      <c r="AC50" s="50">
        <f>$AB50+($AO50-$AB50)*1/12</f>
        <v>465000</v>
      </c>
      <c r="AD50" s="50">
        <f>$AB50+($AO50-$AB50)*2/12</f>
        <v>462000</v>
      </c>
      <c r="AE50" s="50">
        <f>$AB50+($AO50-$AB50)*3/12</f>
        <v>459000</v>
      </c>
      <c r="AF50" s="50">
        <f>$AB50+($AO50-$AB50)*4/12</f>
        <v>456000</v>
      </c>
      <c r="AG50" s="50">
        <f>$AB50+($AO50-$AB50)*5/12</f>
        <v>453000</v>
      </c>
      <c r="AH50" s="50">
        <f>$AB50+($AO50-$AB50)*6/12</f>
        <v>450000</v>
      </c>
      <c r="AI50" s="50">
        <f>$AB50+($AO50-$AB50)*7/12</f>
        <v>447000</v>
      </c>
      <c r="AJ50" s="50">
        <f>$AB50+($AO50-$AB50)*8/12</f>
        <v>444000</v>
      </c>
      <c r="AK50" s="50">
        <f>$AB50+($AO50-$AB50)*9/12</f>
        <v>441000</v>
      </c>
      <c r="AL50" s="50">
        <f>$AB50+($AO50-$AB50)*10/12</f>
        <v>438000</v>
      </c>
      <c r="AM50" s="50">
        <f>$AB50+($AO50-$AB50)*11/12</f>
        <v>435000</v>
      </c>
      <c r="AN50" s="50">
        <f>$AB50+($AO50-$AB50)*12/12</f>
        <v>432000</v>
      </c>
      <c r="AO50" s="50">
        <f>MAX(0,Assumptions!E95-Assumptions!E97*3)</f>
        <v>432000</v>
      </c>
      <c r="AP50" s="50">
        <f>$AO50+($BB50-$AO50)*1/12</f>
        <v>429000</v>
      </c>
      <c r="AQ50" s="50">
        <f>$AO50+($BB50-$AO50)*2/12</f>
        <v>426000</v>
      </c>
      <c r="AR50" s="50">
        <f>$AO50+($BB50-$AO50)*3/12</f>
        <v>423000</v>
      </c>
      <c r="AS50" s="50">
        <f>$AO50+($BB50-$AO50)*4/12</f>
        <v>420000</v>
      </c>
      <c r="AT50" s="50">
        <f>$AO50+($BB50-$AO50)*5/12</f>
        <v>417000</v>
      </c>
      <c r="AU50" s="50">
        <f>$AO50+($BB50-$AO50)*6/12</f>
        <v>414000</v>
      </c>
      <c r="AV50" s="50">
        <f>$AO50+($BB50-$AO50)*7/12</f>
        <v>411000</v>
      </c>
      <c r="AW50" s="50">
        <f>$AO50+($BB50-$AO50)*8/12</f>
        <v>408000</v>
      </c>
      <c r="AX50" s="50">
        <f>$AO50+($BB50-$AO50)*9/12</f>
        <v>405000</v>
      </c>
      <c r="AY50" s="50">
        <f>$AO50+($BB50-$AO50)*10/12</f>
        <v>402000</v>
      </c>
      <c r="AZ50" s="50">
        <f>$AO50+($BB50-$AO50)*11/12</f>
        <v>399000</v>
      </c>
      <c r="BA50" s="50">
        <f>$AO50+($BB50-$AO50)*12/12</f>
        <v>396000</v>
      </c>
      <c r="BB50" s="50">
        <f>MAX(0,Assumptions!E95-Assumptions!E97*4)</f>
        <v>396000</v>
      </c>
      <c r="BC50" s="50">
        <f>$BB50+($BO50-$BB50)*1/12</f>
        <v>393000</v>
      </c>
      <c r="BD50" s="50">
        <f>$BB50+($BO50-$BB50)*2/12</f>
        <v>390000</v>
      </c>
      <c r="BE50" s="50">
        <f>$BB50+($BO50-$BB50)*3/12</f>
        <v>387000</v>
      </c>
      <c r="BF50" s="50">
        <f>$BB50+($BO50-$BB50)*4/12</f>
        <v>384000</v>
      </c>
      <c r="BG50" s="50">
        <f>$BB50+($BO50-$BB50)*5/12</f>
        <v>381000</v>
      </c>
      <c r="BH50" s="50">
        <f>$BB50+($BO50-$BB50)*6/12</f>
        <v>378000</v>
      </c>
      <c r="BI50" s="50">
        <f>$BB50+($BO50-$BB50)*7/12</f>
        <v>375000</v>
      </c>
      <c r="BJ50" s="50">
        <f>$BB50+($BO50-$BB50)*8/12</f>
        <v>372000</v>
      </c>
      <c r="BK50" s="50">
        <f>$BB50+($BO50-$BB50)*9/12</f>
        <v>369000</v>
      </c>
      <c r="BL50" s="50">
        <f>$BB50+($BO50-$BB50)*10/12</f>
        <v>366000</v>
      </c>
      <c r="BM50" s="50">
        <f>$BB50+($BO50-$BB50)*11/12</f>
        <v>363000</v>
      </c>
      <c r="BN50" s="50">
        <f>$BB50+($BO50-$BB50)*12/12</f>
        <v>360000</v>
      </c>
      <c r="BO50" s="50">
        <f>MAX(0,Assumptions!E95-Assumptions!E97*5)</f>
        <v>360000</v>
      </c>
    </row>
    <row r="51" ht="15" customHeight="1">
      <c r="A51" s="60" t="inlineStr">
        <is>
          <t>TOTAL ASSETS</t>
        </is>
      </c>
      <c r="B51" s="52">
        <f>B48+B49+B50</f>
        <v>569999.69999999995</v>
      </c>
      <c r="C51" s="52">
        <f>C48+C49+C50</f>
        <v>573422.95440393849</v>
      </c>
      <c r="D51" s="52">
        <f>D48+D49+D50</f>
        <v>576846.20880787703</v>
      </c>
      <c r="E51" s="52">
        <f>E48+E49+E50</f>
        <v>580269.46321181569</v>
      </c>
      <c r="F51" s="52">
        <f>F48+F49+F50</f>
        <v>583692.71761575423</v>
      </c>
      <c r="G51" s="52">
        <f>G48+G49+G50</f>
        <v>587115.97201969277</v>
      </c>
      <c r="H51" s="52">
        <f>H48+H49+H50</f>
        <v>590539.22642363131</v>
      </c>
      <c r="I51" s="52">
        <f>I48+I49+I50</f>
        <v>593962.48082756985</v>
      </c>
      <c r="J51" s="52">
        <f>J48+J49+J50</f>
        <v>597385.73523150838</v>
      </c>
      <c r="K51" s="52">
        <f>K48+K49+K50</f>
        <v>600808.98963544692</v>
      </c>
      <c r="L51" s="52">
        <f>L48+L49+L50</f>
        <v>604232.24403938546</v>
      </c>
      <c r="M51" s="52">
        <f>M48+M49+M50</f>
        <v>607655.498443324</v>
      </c>
      <c r="N51" s="52">
        <f>N48+N49+N50</f>
        <v>611078.75284726254</v>
      </c>
      <c r="O51" s="52">
        <f>O48+O49+O50</f>
        <v>611078.75284726254</v>
      </c>
      <c r="P51" s="52">
        <f>P48+P49+P50</f>
        <v>611068.2912764448</v>
      </c>
      <c r="Q51" s="52">
        <f>Q48+Q49+Q50</f>
        <v>611057.82970562694</v>
      </c>
      <c r="R51" s="52">
        <f>R48+R49+R50</f>
        <v>611047.36813480919</v>
      </c>
      <c r="S51" s="52">
        <f>S48+S49+S50</f>
        <v>611036.90656399145</v>
      </c>
      <c r="T51" s="52">
        <f>T48+T49+T50</f>
        <v>611026.4449931737</v>
      </c>
      <c r="U51" s="52">
        <f>U48+U49+U50</f>
        <v>611015.98342235584</v>
      </c>
      <c r="V51" s="52">
        <f>V48+V49+V50</f>
        <v>611005.5218515381</v>
      </c>
      <c r="W51" s="52">
        <f>W48+W49+W50</f>
        <v>610995.06028072035</v>
      </c>
      <c r="X51" s="52">
        <f>X48+X49+X50</f>
        <v>610984.59870990249</v>
      </c>
      <c r="Y51" s="52">
        <f>Y48+Y49+Y50</f>
        <v>610974.13713908475</v>
      </c>
      <c r="Z51" s="52">
        <f>Z48+Z49+Z50</f>
        <v>610963.675568267</v>
      </c>
      <c r="AA51" s="52">
        <f>AA48+AA49+AA50</f>
        <v>610953.21399744926</v>
      </c>
      <c r="AB51" s="52">
        <f>AB48+AB49+AB50</f>
        <v>610953.21399744926</v>
      </c>
      <c r="AC51" s="52">
        <f>AC48+AC49+AC50</f>
        <v>611349.61532103829</v>
      </c>
      <c r="AD51" s="52">
        <f>AD48+AD49+AD50</f>
        <v>611746.01664462744</v>
      </c>
      <c r="AE51" s="52">
        <f>AE48+AE49+AE50</f>
        <v>612142.41796821658</v>
      </c>
      <c r="AF51" s="52">
        <f>AF48+AF49+AF50</f>
        <v>612538.81929180573</v>
      </c>
      <c r="AG51" s="52">
        <f>AG48+AG49+AG50</f>
        <v>612935.22061539488</v>
      </c>
      <c r="AH51" s="52">
        <f>AH48+AH49+AH50</f>
        <v>613331.62193898391</v>
      </c>
      <c r="AI51" s="52">
        <f>AI48+AI49+AI50</f>
        <v>613728.02326257306</v>
      </c>
      <c r="AJ51" s="52">
        <f>AJ48+AJ49+AJ50</f>
        <v>614124.4245861622</v>
      </c>
      <c r="AK51" s="52">
        <f>AK48+AK49+AK50</f>
        <v>614520.82590975123</v>
      </c>
      <c r="AL51" s="52">
        <f>AL48+AL49+AL50</f>
        <v>614917.22723334038</v>
      </c>
      <c r="AM51" s="52">
        <f>AM48+AM49+AM50</f>
        <v>615313.62855692953</v>
      </c>
      <c r="AN51" s="52">
        <f>AN48+AN49+AN50</f>
        <v>615710.02988051868</v>
      </c>
      <c r="AO51" s="52">
        <f>AO48+AO49+AO50</f>
        <v>615710.02988051868</v>
      </c>
      <c r="AP51" s="52">
        <f>AP48+AP49+AP50</f>
        <v>616514.1344803609</v>
      </c>
      <c r="AQ51" s="52">
        <f>AQ48+AQ49+AQ50</f>
        <v>617318.23908020323</v>
      </c>
      <c r="AR51" s="52">
        <f>AR48+AR49+AR50</f>
        <v>618122.34368004557</v>
      </c>
      <c r="AS51" s="52">
        <f>AS48+AS49+AS50</f>
        <v>618926.4482798879</v>
      </c>
      <c r="AT51" s="52">
        <f>AT48+AT49+AT50</f>
        <v>619730.55287973024</v>
      </c>
      <c r="AU51" s="52">
        <f>AU48+AU49+AU50</f>
        <v>620534.65747957258</v>
      </c>
      <c r="AV51" s="52">
        <f>AV48+AV49+AV50</f>
        <v>621338.76207941491</v>
      </c>
      <c r="AW51" s="52">
        <f>AW48+AW49+AW50</f>
        <v>622142.86667925725</v>
      </c>
      <c r="AX51" s="52">
        <f>AX48+AX49+AX50</f>
        <v>622946.97127909958</v>
      </c>
      <c r="AY51" s="52">
        <f>AY48+AY49+AY50</f>
        <v>623751.07587894192</v>
      </c>
      <c r="AZ51" s="52">
        <f>AZ48+AZ49+AZ50</f>
        <v>624555.18047878426</v>
      </c>
      <c r="BA51" s="52">
        <f>BA48+BA49+BA50</f>
        <v>625359.28507862659</v>
      </c>
      <c r="BB51" s="52">
        <f>BB48+BB49+BB50</f>
        <v>625359.28507862659</v>
      </c>
      <c r="BC51" s="52">
        <f>BC48+BC49+BC50</f>
        <v>626569.6374484048</v>
      </c>
      <c r="BD51" s="52">
        <f>BD48+BD49+BD50</f>
        <v>627779.98981818312</v>
      </c>
      <c r="BE51" s="52">
        <f>BE48+BE49+BE50</f>
        <v>628990.34218796145</v>
      </c>
      <c r="BF51" s="52">
        <f>BF48+BF49+BF50</f>
        <v>630200.69455773977</v>
      </c>
      <c r="BG51" s="52">
        <f>BG48+BG49+BG50</f>
        <v>631411.04692751798</v>
      </c>
      <c r="BH51" s="52">
        <f>BH48+BH49+BH50</f>
        <v>632621.3992972963</v>
      </c>
      <c r="BI51" s="52">
        <f>BI48+BI49+BI50</f>
        <v>633831.75166707463</v>
      </c>
      <c r="BJ51" s="52">
        <f>BJ48+BJ49+BJ50</f>
        <v>635042.10403685295</v>
      </c>
      <c r="BK51" s="52">
        <f>BK48+BK49+BK50</f>
        <v>636252.45640663116</v>
      </c>
      <c r="BL51" s="52">
        <f>BL48+BL49+BL50</f>
        <v>637462.80877640948</v>
      </c>
      <c r="BM51" s="52">
        <f>BM48+BM49+BM50</f>
        <v>638673.16114618781</v>
      </c>
      <c r="BN51" s="52">
        <f>BN48+BN49+BN50</f>
        <v>639883.51351596601</v>
      </c>
      <c r="BO51" s="52">
        <f>BO48+BO49+BO50</f>
        <v>639883.51351596601</v>
      </c>
    </row>
    <row r="52"/>
    <row r="53" ht="15" customHeight="1">
      <c r="A53" s="44" t="inlineStr">
        <is>
          <t>Liabilities</t>
        </is>
      </c>
    </row>
    <row r="54" ht="15" customHeight="1">
      <c r="A54" s="49" t="inlineStr">
        <is>
          <t>Senior SBA Term Loan Payable</t>
        </is>
      </c>
      <c r="B54" s="50">
        <f>Assumptions!E32</f>
        <v>569999.69999999995</v>
      </c>
      <c r="C54" s="50">
        <f>$B54+($O54-$B54)*1/12</f>
        <v>566947.0594026281</v>
      </c>
      <c r="D54" s="50">
        <f>$B54+($O54-$B54)*2/12</f>
        <v>563894.41880525625</v>
      </c>
      <c r="E54" s="50">
        <f>$B54+($O54-$B54)*3/12</f>
        <v>560841.7782078844</v>
      </c>
      <c r="F54" s="50">
        <f>$B54+($O54-$B54)*4/12</f>
        <v>557789.13761051244</v>
      </c>
      <c r="G54" s="50">
        <f>$B54+($O54-$B54)*5/12</f>
        <v>554736.49701314059</v>
      </c>
      <c r="H54" s="50">
        <f>$B54+($O54-$B54)*6/12</f>
        <v>551683.85641576874</v>
      </c>
      <c r="I54" s="50">
        <f>$B54+($O54-$B54)*7/12</f>
        <v>548631.21581839689</v>
      </c>
      <c r="J54" s="50">
        <f>$B54+($O54-$B54)*8/12</f>
        <v>545578.57522102504</v>
      </c>
      <c r="K54" s="50">
        <f>$B54+($O54-$B54)*9/12</f>
        <v>542525.93462365307</v>
      </c>
      <c r="L54" s="50">
        <f>$B54+($O54-$B54)*10/12</f>
        <v>539473.29402628122</v>
      </c>
      <c r="M54" s="50">
        <f>$B54+($O54-$B54)*11/12</f>
        <v>536420.65342890937</v>
      </c>
      <c r="N54" s="50">
        <f>$B54+($O54-$B54)*12/12</f>
        <v>533368.01283153752</v>
      </c>
      <c r="O54" s="50">
        <f>IFERROR(Assumptions!E32*(1+Assumptions!E30)^1-(PMT(Assumptions!E30,Assumptions!E31,-Assumptions!E32))*(((1+Assumptions!E30)^1-1)/Assumptions!E30),Assumptions!E32)</f>
        <v>533368.01283153752</v>
      </c>
      <c r="P54" s="50">
        <f>$O54+($AB54-$O54)*1/12</f>
        <v>530025.37137741526</v>
      </c>
      <c r="Q54" s="50">
        <f>$O54+($AB54-$O54)*2/12</f>
        <v>526682.72992329311</v>
      </c>
      <c r="R54" s="50">
        <f>$O54+($AB54-$O54)*3/12</f>
        <v>523340.08846917091</v>
      </c>
      <c r="S54" s="50">
        <f>$O54+($AB54-$O54)*4/12</f>
        <v>519997.4470150487</v>
      </c>
      <c r="T54" s="50">
        <f>$O54+($AB54-$O54)*5/12</f>
        <v>516654.8055609265</v>
      </c>
      <c r="U54" s="50">
        <f>$O54+($AB54-$O54)*6/12</f>
        <v>513312.1641068043</v>
      </c>
      <c r="V54" s="50">
        <f>$O54+($AB54-$O54)*7/12</f>
        <v>509969.52265268203</v>
      </c>
      <c r="W54" s="50">
        <f>$O54+($AB54-$O54)*8/12</f>
        <v>506626.88119855983</v>
      </c>
      <c r="X54" s="50">
        <f>$O54+($AB54-$O54)*9/12</f>
        <v>503284.23974443763</v>
      </c>
      <c r="Y54" s="50">
        <f>$O54+($AB54-$O54)*10/12</f>
        <v>499941.59829031542</v>
      </c>
      <c r="Z54" s="50">
        <f>$O54+($AB54-$O54)*11/12</f>
        <v>496598.95683619322</v>
      </c>
      <c r="AA54" s="50">
        <f>$O54+($AB54-$O54)*12/12</f>
        <v>493256.31538207101</v>
      </c>
      <c r="AB54" s="50">
        <f>IFERROR(Assumptions!E32*(1+Assumptions!E30)^2-(PMT(Assumptions!E30,Assumptions!E31,-Assumptions!E32))*(((1+Assumptions!E30)^2-1)/Assumptions!E30),Assumptions!E32)</f>
        <v>493256.31538207101</v>
      </c>
      <c r="AC54" s="50">
        <f>$AB54+($AO54-$AB54)*1/12</f>
        <v>489596.12298980722</v>
      </c>
      <c r="AD54" s="50">
        <f>$AB54+($AO54-$AB54)*2/12</f>
        <v>485935.93059754343</v>
      </c>
      <c r="AE54" s="50">
        <f>$AB54+($AO54-$AB54)*3/12</f>
        <v>482275.73820527957</v>
      </c>
      <c r="AF54" s="50">
        <f>$AB54+($AO54-$AB54)*4/12</f>
        <v>478615.54581301578</v>
      </c>
      <c r="AG54" s="50">
        <f>$AB54+($AO54-$AB54)*5/12</f>
        <v>474955.35342075198</v>
      </c>
      <c r="AH54" s="50">
        <f>$AB54+($AO54-$AB54)*6/12</f>
        <v>471295.16102848819</v>
      </c>
      <c r="AI54" s="50">
        <f>$AB54+($AO54-$AB54)*7/12</f>
        <v>467634.9686362244</v>
      </c>
      <c r="AJ54" s="50">
        <f>$AB54+($AO54-$AB54)*8/12</f>
        <v>463974.7762439606</v>
      </c>
      <c r="AK54" s="50">
        <f>$AB54+($AO54-$AB54)*9/12</f>
        <v>460314.58385169681</v>
      </c>
      <c r="AL54" s="50">
        <f>$AB54+($AO54-$AB54)*10/12</f>
        <v>456654.39145943295</v>
      </c>
      <c r="AM54" s="50">
        <f>$AB54+($AO54-$AB54)*11/12</f>
        <v>452994.19906716916</v>
      </c>
      <c r="AN54" s="50">
        <f>$AB54+($AO54-$AB54)*12/12</f>
        <v>449334.00667490537</v>
      </c>
      <c r="AO54" s="50">
        <f>IFERROR(Assumptions!E32*(1+Assumptions!E30)^3-(PMT(Assumptions!E30,Assumptions!E31,-Assumptions!E32))*(((1+Assumptions!E30)^3-1)/Assumptions!E30),Assumptions!E32)</f>
        <v>449334.00667490537</v>
      </c>
      <c r="AP54" s="50">
        <f>$AO54+($BB54-$AO54)*1/12</f>
        <v>445326.09600537649</v>
      </c>
      <c r="AQ54" s="50">
        <f>$AO54+($BB54-$AO54)*2/12</f>
        <v>441318.18533584761</v>
      </c>
      <c r="AR54" s="50">
        <f>$AO54+($BB54-$AO54)*3/12</f>
        <v>437310.27466631879</v>
      </c>
      <c r="AS54" s="50">
        <f>$AO54+($BB54-$AO54)*4/12</f>
        <v>433302.36399678991</v>
      </c>
      <c r="AT54" s="50">
        <f>$AO54+($BB54-$AO54)*5/12</f>
        <v>429294.45332726103</v>
      </c>
      <c r="AU54" s="50">
        <f>$AO54+($BB54-$AO54)*6/12</f>
        <v>425286.54265773215</v>
      </c>
      <c r="AV54" s="50">
        <f>$AO54+($BB54-$AO54)*7/12</f>
        <v>421278.63198820327</v>
      </c>
      <c r="AW54" s="50">
        <f>$AO54+($BB54-$AO54)*8/12</f>
        <v>417270.72131867439</v>
      </c>
      <c r="AX54" s="50">
        <f>$AO54+($BB54-$AO54)*9/12</f>
        <v>413262.81064914551</v>
      </c>
      <c r="AY54" s="50">
        <f>$AO54+($BB54-$AO54)*10/12</f>
        <v>409254.89997961669</v>
      </c>
      <c r="AZ54" s="50">
        <f>$AO54+($BB54-$AO54)*11/12</f>
        <v>405246.98931008781</v>
      </c>
      <c r="BA54" s="50">
        <f>$AO54+($BB54-$AO54)*12/12</f>
        <v>401239.07864055893</v>
      </c>
      <c r="BB54" s="50">
        <f>IFERROR(Assumptions!E32*(1+Assumptions!E30)^4-(PMT(Assumptions!E30,Assumptions!E31,-Assumptions!E32))*(((1+Assumptions!E30)^4-1)/Assumptions!E30),Assumptions!E32)</f>
        <v>401239.07864055893</v>
      </c>
      <c r="BC54" s="50">
        <f>$BB54+($BO54-$BB54)*1/12</f>
        <v>396850.41645742481</v>
      </c>
      <c r="BD54" s="50">
        <f>$BB54+($BO54-$BB54)*2/12</f>
        <v>392461.7542742907</v>
      </c>
      <c r="BE54" s="50">
        <f>$BB54+($BO54-$BB54)*3/12</f>
        <v>388073.09209115658</v>
      </c>
      <c r="BF54" s="50">
        <f>$BB54+($BO54-$BB54)*4/12</f>
        <v>383684.42990802246</v>
      </c>
      <c r="BG54" s="50">
        <f>$BB54+($BO54-$BB54)*5/12</f>
        <v>379295.76772488834</v>
      </c>
      <c r="BH54" s="50">
        <f>$BB54+($BO54-$BB54)*6/12</f>
        <v>374907.10554175416</v>
      </c>
      <c r="BI54" s="50">
        <f>$BB54+($BO54-$BB54)*7/12</f>
        <v>370518.44335862005</v>
      </c>
      <c r="BJ54" s="50">
        <f>$BB54+($BO54-$BB54)*8/12</f>
        <v>366129.78117548593</v>
      </c>
      <c r="BK54" s="50">
        <f>$BB54+($BO54-$BB54)*9/12</f>
        <v>361741.11899235181</v>
      </c>
      <c r="BL54" s="50">
        <f>$BB54+($BO54-$BB54)*10/12</f>
        <v>357352.45680921769</v>
      </c>
      <c r="BM54" s="50">
        <f>$BB54+($BO54-$BB54)*11/12</f>
        <v>352963.79462608357</v>
      </c>
      <c r="BN54" s="50">
        <f>$BB54+($BO54-$BB54)*12/12</f>
        <v>348575.13244294946</v>
      </c>
      <c r="BO54" s="50">
        <f>IFERROR(Assumptions!E32*(1+Assumptions!E30)^5-(PMT(Assumptions!E30,Assumptions!E31,-Assumptions!E32))*(((1+Assumptions!E30)^5-1)/Assumptions!E30),Assumptions!E32)</f>
        <v>348575.13244294946</v>
      </c>
    </row>
    <row r="55" ht="15" customHeight="1">
      <c r="A55" s="49" t="inlineStr">
        <is>
          <t>Seller Note Payable</t>
        </is>
      </c>
      <c r="B55" s="50">
        <f>Assumptions!E17</f>
        <v>0</v>
      </c>
      <c r="C55" s="50">
        <f>$B55+($O55-$B55)*1/12</f>
        <v>0</v>
      </c>
      <c r="D55" s="50">
        <f>$B55+($O55-$B55)*2/12</f>
        <v>0</v>
      </c>
      <c r="E55" s="50">
        <f>$B55+($O55-$B55)*3/12</f>
        <v>0</v>
      </c>
      <c r="F55" s="50">
        <f>$B55+($O55-$B55)*4/12</f>
        <v>0</v>
      </c>
      <c r="G55" s="50">
        <f>$B55+($O55-$B55)*5/12</f>
        <v>0</v>
      </c>
      <c r="H55" s="50">
        <f>$B55+($O55-$B55)*6/12</f>
        <v>0</v>
      </c>
      <c r="I55" s="50">
        <f>$B55+($O55-$B55)*7/12</f>
        <v>0</v>
      </c>
      <c r="J55" s="50">
        <f>$B55+($O55-$B55)*8/12</f>
        <v>0</v>
      </c>
      <c r="K55" s="50">
        <f>$B55+($O55-$B55)*9/12</f>
        <v>0</v>
      </c>
      <c r="L55" s="50">
        <f>$B55+($O55-$B55)*10/12</f>
        <v>0</v>
      </c>
      <c r="M55" s="50">
        <f>$B55+($O55-$B55)*11/12</f>
        <v>0</v>
      </c>
      <c r="N55" s="50">
        <f>$B55+($O55-$B55)*12/12</f>
        <v>0</v>
      </c>
      <c r="O55" s="50">
        <f>IFERROR(Assumptions!E17*(1+Assumptions!E18)^1-(PMT(Assumptions!E18,Assumptions!E19,-Assumptions!E17))*(((1+Assumptions!E18)^1-1)/Assumptions!E18),Assumptions!E17)</f>
        <v>0</v>
      </c>
      <c r="P55" s="50">
        <f>$O55+($AB55-$O55)*1/12</f>
        <v>0</v>
      </c>
      <c r="Q55" s="50">
        <f>$O55+($AB55-$O55)*2/12</f>
        <v>0</v>
      </c>
      <c r="R55" s="50">
        <f>$O55+($AB55-$O55)*3/12</f>
        <v>0</v>
      </c>
      <c r="S55" s="50">
        <f>$O55+($AB55-$O55)*4/12</f>
        <v>0</v>
      </c>
      <c r="T55" s="50">
        <f>$O55+($AB55-$O55)*5/12</f>
        <v>0</v>
      </c>
      <c r="U55" s="50">
        <f>$O55+($AB55-$O55)*6/12</f>
        <v>0</v>
      </c>
      <c r="V55" s="50">
        <f>$O55+($AB55-$O55)*7/12</f>
        <v>0</v>
      </c>
      <c r="W55" s="50">
        <f>$O55+($AB55-$O55)*8/12</f>
        <v>0</v>
      </c>
      <c r="X55" s="50">
        <f>$O55+($AB55-$O55)*9/12</f>
        <v>0</v>
      </c>
      <c r="Y55" s="50">
        <f>$O55+($AB55-$O55)*10/12</f>
        <v>0</v>
      </c>
      <c r="Z55" s="50">
        <f>$O55+($AB55-$O55)*11/12</f>
        <v>0</v>
      </c>
      <c r="AA55" s="50">
        <f>$O55+($AB55-$O55)*12/12</f>
        <v>0</v>
      </c>
      <c r="AB55" s="50">
        <f>IFERROR(Assumptions!E17*(1+Assumptions!E18)^2-(PMT(Assumptions!E18,Assumptions!E19,-Assumptions!E17))*(((1+Assumptions!E18)^2-1)/Assumptions!E18),Assumptions!E17)</f>
        <v>0</v>
      </c>
      <c r="AC55" s="50">
        <f>$AB55+($AO55-$AB55)*1/12</f>
        <v>0</v>
      </c>
      <c r="AD55" s="50">
        <f>$AB55+($AO55-$AB55)*2/12</f>
        <v>0</v>
      </c>
      <c r="AE55" s="50">
        <f>$AB55+($AO55-$AB55)*3/12</f>
        <v>0</v>
      </c>
      <c r="AF55" s="50">
        <f>$AB55+($AO55-$AB55)*4/12</f>
        <v>0</v>
      </c>
      <c r="AG55" s="50">
        <f>$AB55+($AO55-$AB55)*5/12</f>
        <v>0</v>
      </c>
      <c r="AH55" s="50">
        <f>$AB55+($AO55-$AB55)*6/12</f>
        <v>0</v>
      </c>
      <c r="AI55" s="50">
        <f>$AB55+($AO55-$AB55)*7/12</f>
        <v>0</v>
      </c>
      <c r="AJ55" s="50">
        <f>$AB55+($AO55-$AB55)*8/12</f>
        <v>0</v>
      </c>
      <c r="AK55" s="50">
        <f>$AB55+($AO55-$AB55)*9/12</f>
        <v>0</v>
      </c>
      <c r="AL55" s="50">
        <f>$AB55+($AO55-$AB55)*10/12</f>
        <v>0</v>
      </c>
      <c r="AM55" s="50">
        <f>$AB55+($AO55-$AB55)*11/12</f>
        <v>0</v>
      </c>
      <c r="AN55" s="50">
        <f>$AB55+($AO55-$AB55)*12/12</f>
        <v>0</v>
      </c>
      <c r="AO55" s="50">
        <f>IFERROR(Assumptions!E17*(1+Assumptions!E18)^3-(PMT(Assumptions!E18,Assumptions!E19,-Assumptions!E17))*(((1+Assumptions!E18)^3-1)/Assumptions!E18),Assumptions!E17)</f>
        <v>0</v>
      </c>
      <c r="AP55" s="50">
        <f>$AO55+($BB55-$AO55)*1/12</f>
        <v>0</v>
      </c>
      <c r="AQ55" s="50">
        <f>$AO55+($BB55-$AO55)*2/12</f>
        <v>0</v>
      </c>
      <c r="AR55" s="50">
        <f>$AO55+($BB55-$AO55)*3/12</f>
        <v>0</v>
      </c>
      <c r="AS55" s="50">
        <f>$AO55+($BB55-$AO55)*4/12</f>
        <v>0</v>
      </c>
      <c r="AT55" s="50">
        <f>$AO55+($BB55-$AO55)*5/12</f>
        <v>0</v>
      </c>
      <c r="AU55" s="50">
        <f>$AO55+($BB55-$AO55)*6/12</f>
        <v>0</v>
      </c>
      <c r="AV55" s="50">
        <f>$AO55+($BB55-$AO55)*7/12</f>
        <v>0</v>
      </c>
      <c r="AW55" s="50">
        <f>$AO55+($BB55-$AO55)*8/12</f>
        <v>0</v>
      </c>
      <c r="AX55" s="50">
        <f>$AO55+($BB55-$AO55)*9/12</f>
        <v>0</v>
      </c>
      <c r="AY55" s="50">
        <f>$AO55+($BB55-$AO55)*10/12</f>
        <v>0</v>
      </c>
      <c r="AZ55" s="50">
        <f>$AO55+($BB55-$AO55)*11/12</f>
        <v>0</v>
      </c>
      <c r="BA55" s="50">
        <f>$AO55+($BB55-$AO55)*12/12</f>
        <v>0</v>
      </c>
      <c r="BB55" s="50">
        <f>IFERROR(Assumptions!E17*(1+Assumptions!E18)^4-(PMT(Assumptions!E18,Assumptions!E19,-Assumptions!E17))*(((1+Assumptions!E18)^4-1)/Assumptions!E18),Assumptions!E17)</f>
        <v>0</v>
      </c>
      <c r="BC55" s="50">
        <f>$BB55+($BO55-$BB55)*1/12</f>
        <v>0</v>
      </c>
      <c r="BD55" s="50">
        <f>$BB55+($BO55-$BB55)*2/12</f>
        <v>0</v>
      </c>
      <c r="BE55" s="50">
        <f>$BB55+($BO55-$BB55)*3/12</f>
        <v>0</v>
      </c>
      <c r="BF55" s="50">
        <f>$BB55+($BO55-$BB55)*4/12</f>
        <v>0</v>
      </c>
      <c r="BG55" s="50">
        <f>$BB55+($BO55-$BB55)*5/12</f>
        <v>0</v>
      </c>
      <c r="BH55" s="50">
        <f>$BB55+($BO55-$BB55)*6/12</f>
        <v>0</v>
      </c>
      <c r="BI55" s="50">
        <f>$BB55+($BO55-$BB55)*7/12</f>
        <v>0</v>
      </c>
      <c r="BJ55" s="50">
        <f>$BB55+($BO55-$BB55)*8/12</f>
        <v>0</v>
      </c>
      <c r="BK55" s="50">
        <f>$BB55+($BO55-$BB55)*9/12</f>
        <v>0</v>
      </c>
      <c r="BL55" s="50">
        <f>$BB55+($BO55-$BB55)*10/12</f>
        <v>0</v>
      </c>
      <c r="BM55" s="50">
        <f>$BB55+($BO55-$BB55)*11/12</f>
        <v>0</v>
      </c>
      <c r="BN55" s="50">
        <f>$BB55+($BO55-$BB55)*12/12</f>
        <v>0</v>
      </c>
      <c r="BO55" s="50">
        <f>IFERROR(Assumptions!E17*(1+Assumptions!E18)^5-(PMT(Assumptions!E18,Assumptions!E19,-Assumptions!E17))*(((1+Assumptions!E18)^5-1)/Assumptions!E18),Assumptions!E17)</f>
        <v>0</v>
      </c>
    </row>
    <row r="56" ht="15" customHeight="1">
      <c r="A56" s="60" t="inlineStr">
        <is>
          <t>TOTAL LIABILITIES</t>
        </is>
      </c>
      <c r="B56" s="52">
        <f>B54+B55</f>
        <v>569999.69999999995</v>
      </c>
      <c r="C56" s="52">
        <f>C54+C55</f>
        <v>566947.0594026281</v>
      </c>
      <c r="D56" s="52">
        <f>D54+D55</f>
        <v>563894.41880525625</v>
      </c>
      <c r="E56" s="52">
        <f>E54+E55</f>
        <v>560841.7782078844</v>
      </c>
      <c r="F56" s="52">
        <f>F54+F55</f>
        <v>557789.13761051244</v>
      </c>
      <c r="G56" s="52">
        <f>G54+G55</f>
        <v>554736.49701314059</v>
      </c>
      <c r="H56" s="52">
        <f>H54+H55</f>
        <v>551683.85641576874</v>
      </c>
      <c r="I56" s="52">
        <f>I54+I55</f>
        <v>548631.21581839689</v>
      </c>
      <c r="J56" s="52">
        <f>J54+J55</f>
        <v>545578.57522102504</v>
      </c>
      <c r="K56" s="52">
        <f>K54+K55</f>
        <v>542525.93462365307</v>
      </c>
      <c r="L56" s="52">
        <f>L54+L55</f>
        <v>539473.29402628122</v>
      </c>
      <c r="M56" s="52">
        <f>M54+M55</f>
        <v>536420.65342890937</v>
      </c>
      <c r="N56" s="52">
        <f>N54+N55</f>
        <v>533368.01283153752</v>
      </c>
      <c r="O56" s="52">
        <f>O54+O55</f>
        <v>533368.01283153752</v>
      </c>
      <c r="P56" s="52">
        <f>P54+P55</f>
        <v>530025.37137741526</v>
      </c>
      <c r="Q56" s="52">
        <f>Q54+Q55</f>
        <v>526682.72992329311</v>
      </c>
      <c r="R56" s="52">
        <f>R54+R55</f>
        <v>523340.08846917091</v>
      </c>
      <c r="S56" s="52">
        <f>S54+S55</f>
        <v>519997.4470150487</v>
      </c>
      <c r="T56" s="52">
        <f>T54+T55</f>
        <v>516654.8055609265</v>
      </c>
      <c r="U56" s="52">
        <f>U54+U55</f>
        <v>513312.1641068043</v>
      </c>
      <c r="V56" s="52">
        <f>V54+V55</f>
        <v>509969.52265268203</v>
      </c>
      <c r="W56" s="52">
        <f>W54+W55</f>
        <v>506626.88119855983</v>
      </c>
      <c r="X56" s="52">
        <f>X54+X55</f>
        <v>503284.23974443763</v>
      </c>
      <c r="Y56" s="52">
        <f>Y54+Y55</f>
        <v>499941.59829031542</v>
      </c>
      <c r="Z56" s="52">
        <f>Z54+Z55</f>
        <v>496598.95683619322</v>
      </c>
      <c r="AA56" s="52">
        <f>AA54+AA55</f>
        <v>493256.31538207101</v>
      </c>
      <c r="AB56" s="52">
        <f>AB54+AB55</f>
        <v>493256.31538207101</v>
      </c>
      <c r="AC56" s="52">
        <f>AC54+AC55</f>
        <v>489596.12298980722</v>
      </c>
      <c r="AD56" s="52">
        <f>AD54+AD55</f>
        <v>485935.93059754343</v>
      </c>
      <c r="AE56" s="52">
        <f>AE54+AE55</f>
        <v>482275.73820527957</v>
      </c>
      <c r="AF56" s="52">
        <f>AF54+AF55</f>
        <v>478615.54581301578</v>
      </c>
      <c r="AG56" s="52">
        <f>AG54+AG55</f>
        <v>474955.35342075198</v>
      </c>
      <c r="AH56" s="52">
        <f>AH54+AH55</f>
        <v>471295.16102848819</v>
      </c>
      <c r="AI56" s="52">
        <f>AI54+AI55</f>
        <v>467634.9686362244</v>
      </c>
      <c r="AJ56" s="52">
        <f>AJ54+AJ55</f>
        <v>463974.7762439606</v>
      </c>
      <c r="AK56" s="52">
        <f>AK54+AK55</f>
        <v>460314.58385169681</v>
      </c>
      <c r="AL56" s="52">
        <f>AL54+AL55</f>
        <v>456654.39145943295</v>
      </c>
      <c r="AM56" s="52">
        <f>AM54+AM55</f>
        <v>452994.19906716916</v>
      </c>
      <c r="AN56" s="52">
        <f>AN54+AN55</f>
        <v>449334.00667490537</v>
      </c>
      <c r="AO56" s="52">
        <f>AO54+AO55</f>
        <v>449334.00667490537</v>
      </c>
      <c r="AP56" s="52">
        <f>AP54+AP55</f>
        <v>445326.09600537649</v>
      </c>
      <c r="AQ56" s="52">
        <f>AQ54+AQ55</f>
        <v>441318.18533584761</v>
      </c>
      <c r="AR56" s="52">
        <f>AR54+AR55</f>
        <v>437310.27466631879</v>
      </c>
      <c r="AS56" s="52">
        <f>AS54+AS55</f>
        <v>433302.36399678991</v>
      </c>
      <c r="AT56" s="52">
        <f>AT54+AT55</f>
        <v>429294.45332726103</v>
      </c>
      <c r="AU56" s="52">
        <f>AU54+AU55</f>
        <v>425286.54265773215</v>
      </c>
      <c r="AV56" s="52">
        <f>AV54+AV55</f>
        <v>421278.63198820327</v>
      </c>
      <c r="AW56" s="52">
        <f>AW54+AW55</f>
        <v>417270.72131867439</v>
      </c>
      <c r="AX56" s="52">
        <f>AX54+AX55</f>
        <v>413262.81064914551</v>
      </c>
      <c r="AY56" s="52">
        <f>AY54+AY55</f>
        <v>409254.89997961669</v>
      </c>
      <c r="AZ56" s="52">
        <f>AZ54+AZ55</f>
        <v>405246.98931008781</v>
      </c>
      <c r="BA56" s="52">
        <f>BA54+BA55</f>
        <v>401239.07864055893</v>
      </c>
      <c r="BB56" s="52">
        <f>BB54+BB55</f>
        <v>401239.07864055893</v>
      </c>
      <c r="BC56" s="52">
        <f>BC54+BC55</f>
        <v>396850.41645742481</v>
      </c>
      <c r="BD56" s="52">
        <f>BD54+BD55</f>
        <v>392461.7542742907</v>
      </c>
      <c r="BE56" s="52">
        <f>BE54+BE55</f>
        <v>388073.09209115658</v>
      </c>
      <c r="BF56" s="52">
        <f>BF54+BF55</f>
        <v>383684.42990802246</v>
      </c>
      <c r="BG56" s="52">
        <f>BG54+BG55</f>
        <v>379295.76772488834</v>
      </c>
      <c r="BH56" s="52">
        <f>BH54+BH55</f>
        <v>374907.10554175416</v>
      </c>
      <c r="BI56" s="52">
        <f>BI54+BI55</f>
        <v>370518.44335862005</v>
      </c>
      <c r="BJ56" s="52">
        <f>BJ54+BJ55</f>
        <v>366129.78117548593</v>
      </c>
      <c r="BK56" s="52">
        <f>BK54+BK55</f>
        <v>361741.11899235181</v>
      </c>
      <c r="BL56" s="52">
        <f>BL54+BL55</f>
        <v>357352.45680921769</v>
      </c>
      <c r="BM56" s="52">
        <f>BM54+BM55</f>
        <v>352963.79462608357</v>
      </c>
      <c r="BN56" s="52">
        <f>BN54+BN55</f>
        <v>348575.13244294946</v>
      </c>
      <c r="BO56" s="52">
        <f>BO54+BO55</f>
        <v>348575.13244294946</v>
      </c>
    </row>
    <row r="57"/>
    <row r="58" ht="15" customHeight="1">
      <c r="A58" s="44" t="inlineStr">
        <is>
          <t>Equity</t>
        </is>
      </c>
    </row>
    <row r="59" ht="15" customHeight="1">
      <c r="A59" s="49" t="inlineStr">
        <is>
          <t>Buyer Paid-in Equity</t>
        </is>
      </c>
      <c r="B59" s="50" t="n">
        <v>0</v>
      </c>
      <c r="C59" s="50">
        <f>$B59+($O59-$B59)*1/12</f>
        <v>0</v>
      </c>
      <c r="D59" s="50">
        <f>$B59+($O59-$B59)*2/12</f>
        <v>0</v>
      </c>
      <c r="E59" s="50">
        <f>$B59+($O59-$B59)*3/12</f>
        <v>0</v>
      </c>
      <c r="F59" s="50">
        <f>$B59+($O59-$B59)*4/12</f>
        <v>0</v>
      </c>
      <c r="G59" s="50">
        <f>$B59+($O59-$B59)*5/12</f>
        <v>0</v>
      </c>
      <c r="H59" s="50">
        <f>$B59+($O59-$B59)*6/12</f>
        <v>0</v>
      </c>
      <c r="I59" s="50">
        <f>$B59+($O59-$B59)*7/12</f>
        <v>0</v>
      </c>
      <c r="J59" s="50">
        <f>$B59+($O59-$B59)*8/12</f>
        <v>0</v>
      </c>
      <c r="K59" s="50">
        <f>$B59+($O59-$B59)*9/12</f>
        <v>0</v>
      </c>
      <c r="L59" s="50">
        <f>$B59+($O59-$B59)*10/12</f>
        <v>0</v>
      </c>
      <c r="M59" s="50">
        <f>$B59+($O59-$B59)*11/12</f>
        <v>0</v>
      </c>
      <c r="N59" s="50">
        <f>$B59+($O59-$B59)*12/12</f>
        <v>0</v>
      </c>
      <c r="O59" s="50" t="n">
        <v>0</v>
      </c>
      <c r="P59" s="50">
        <f>$O59+($AB59-$O59)*1/12</f>
        <v>0</v>
      </c>
      <c r="Q59" s="50">
        <f>$O59+($AB59-$O59)*2/12</f>
        <v>0</v>
      </c>
      <c r="R59" s="50">
        <f>$O59+($AB59-$O59)*3/12</f>
        <v>0</v>
      </c>
      <c r="S59" s="50">
        <f>$O59+($AB59-$O59)*4/12</f>
        <v>0</v>
      </c>
      <c r="T59" s="50">
        <f>$O59+($AB59-$O59)*5/12</f>
        <v>0</v>
      </c>
      <c r="U59" s="50">
        <f>$O59+($AB59-$O59)*6/12</f>
        <v>0</v>
      </c>
      <c r="V59" s="50">
        <f>$O59+($AB59-$O59)*7/12</f>
        <v>0</v>
      </c>
      <c r="W59" s="50">
        <f>$O59+($AB59-$O59)*8/12</f>
        <v>0</v>
      </c>
      <c r="X59" s="50">
        <f>$O59+($AB59-$O59)*9/12</f>
        <v>0</v>
      </c>
      <c r="Y59" s="50">
        <f>$O59+($AB59-$O59)*10/12</f>
        <v>0</v>
      </c>
      <c r="Z59" s="50">
        <f>$O59+($AB59-$O59)*11/12</f>
        <v>0</v>
      </c>
      <c r="AA59" s="50">
        <f>$O59+($AB59-$O59)*12/12</f>
        <v>0</v>
      </c>
      <c r="AB59" s="50">
        <f>+O59</f>
        <v>0</v>
      </c>
      <c r="AC59" s="50">
        <f>$AB59+($AO59-$AB59)*1/12</f>
        <v>0</v>
      </c>
      <c r="AD59" s="50">
        <f>$AB59+($AO59-$AB59)*2/12</f>
        <v>0</v>
      </c>
      <c r="AE59" s="50">
        <f>$AB59+($AO59-$AB59)*3/12</f>
        <v>0</v>
      </c>
      <c r="AF59" s="50">
        <f>$AB59+($AO59-$AB59)*4/12</f>
        <v>0</v>
      </c>
      <c r="AG59" s="50">
        <f>$AB59+($AO59-$AB59)*5/12</f>
        <v>0</v>
      </c>
      <c r="AH59" s="50">
        <f>$AB59+($AO59-$AB59)*6/12</f>
        <v>0</v>
      </c>
      <c r="AI59" s="50">
        <f>$AB59+($AO59-$AB59)*7/12</f>
        <v>0</v>
      </c>
      <c r="AJ59" s="50">
        <f>$AB59+($AO59-$AB59)*8/12</f>
        <v>0</v>
      </c>
      <c r="AK59" s="50">
        <f>$AB59+($AO59-$AB59)*9/12</f>
        <v>0</v>
      </c>
      <c r="AL59" s="50">
        <f>$AB59+($AO59-$AB59)*10/12</f>
        <v>0</v>
      </c>
      <c r="AM59" s="50">
        <f>$AB59+($AO59-$AB59)*11/12</f>
        <v>0</v>
      </c>
      <c r="AN59" s="50">
        <f>$AB59+($AO59-$AB59)*12/12</f>
        <v>0</v>
      </c>
      <c r="AO59" s="50">
        <f>+AB59</f>
        <v>0</v>
      </c>
      <c r="AP59" s="50">
        <f>$AO59+($BB59-$AO59)*1/12</f>
        <v>0</v>
      </c>
      <c r="AQ59" s="50">
        <f>$AO59+($BB59-$AO59)*2/12</f>
        <v>0</v>
      </c>
      <c r="AR59" s="50">
        <f>$AO59+($BB59-$AO59)*3/12</f>
        <v>0</v>
      </c>
      <c r="AS59" s="50">
        <f>$AO59+($BB59-$AO59)*4/12</f>
        <v>0</v>
      </c>
      <c r="AT59" s="50">
        <f>$AO59+($BB59-$AO59)*5/12</f>
        <v>0</v>
      </c>
      <c r="AU59" s="50">
        <f>$AO59+($BB59-$AO59)*6/12</f>
        <v>0</v>
      </c>
      <c r="AV59" s="50">
        <f>$AO59+($BB59-$AO59)*7/12</f>
        <v>0</v>
      </c>
      <c r="AW59" s="50">
        <f>$AO59+($BB59-$AO59)*8/12</f>
        <v>0</v>
      </c>
      <c r="AX59" s="50">
        <f>$AO59+($BB59-$AO59)*9/12</f>
        <v>0</v>
      </c>
      <c r="AY59" s="50">
        <f>$AO59+($BB59-$AO59)*10/12</f>
        <v>0</v>
      </c>
      <c r="AZ59" s="50">
        <f>$AO59+($BB59-$AO59)*11/12</f>
        <v>0</v>
      </c>
      <c r="BA59" s="50">
        <f>$AO59+($BB59-$AO59)*12/12</f>
        <v>0</v>
      </c>
      <c r="BB59" s="50">
        <f>+AO59</f>
        <v>0</v>
      </c>
      <c r="BC59" s="50">
        <f>$BB59+($BO59-$BB59)*1/12</f>
        <v>0</v>
      </c>
      <c r="BD59" s="50">
        <f>$BB59+($BO59-$BB59)*2/12</f>
        <v>0</v>
      </c>
      <c r="BE59" s="50">
        <f>$BB59+($BO59-$BB59)*3/12</f>
        <v>0</v>
      </c>
      <c r="BF59" s="50">
        <f>$BB59+($BO59-$BB59)*4/12</f>
        <v>0</v>
      </c>
      <c r="BG59" s="50">
        <f>$BB59+($BO59-$BB59)*5/12</f>
        <v>0</v>
      </c>
      <c r="BH59" s="50">
        <f>$BB59+($BO59-$BB59)*6/12</f>
        <v>0</v>
      </c>
      <c r="BI59" s="50">
        <f>$BB59+($BO59-$BB59)*7/12</f>
        <v>0</v>
      </c>
      <c r="BJ59" s="50">
        <f>$BB59+($BO59-$BB59)*8/12</f>
        <v>0</v>
      </c>
      <c r="BK59" s="50">
        <f>$BB59+($BO59-$BB59)*9/12</f>
        <v>0</v>
      </c>
      <c r="BL59" s="50">
        <f>$BB59+($BO59-$BB59)*10/12</f>
        <v>0</v>
      </c>
      <c r="BM59" s="50">
        <f>$BB59+($BO59-$BB59)*11/12</f>
        <v>0</v>
      </c>
      <c r="BN59" s="50">
        <f>$BB59+($BO59-$BB59)*12/12</f>
        <v>0</v>
      </c>
      <c r="BO59" s="50">
        <f>+BB59</f>
        <v>0</v>
      </c>
    </row>
    <row r="60" ht="15" customHeight="1">
      <c r="A60" s="49" t="inlineStr">
        <is>
          <t>Retained Earnings</t>
        </is>
      </c>
      <c r="B60" s="50">
        <f>0</f>
        <v>0</v>
      </c>
      <c r="C60" s="50">
        <f>$B60+($O60-$B60)*1/12</f>
        <v>6475.895001310415</v>
      </c>
      <c r="D60" s="50">
        <f>$B60+($O60-$B60)*2/12</f>
        <v>12951.79000262083</v>
      </c>
      <c r="E60" s="50">
        <f>$B60+($O60-$B60)*3/12</f>
        <v>19427.685003931245</v>
      </c>
      <c r="F60" s="50">
        <f>$B60+($O60-$B60)*4/12</f>
        <v>25903.58000524166</v>
      </c>
      <c r="G60" s="50">
        <f>$B60+($O60-$B60)*5/12</f>
        <v>32379.475006552075</v>
      </c>
      <c r="H60" s="50">
        <f>$B60+($O60-$B60)*6/12</f>
        <v>38855.37000786249</v>
      </c>
      <c r="I60" s="50">
        <f>$B60+($O60-$B60)*7/12</f>
        <v>45331.265009172901</v>
      </c>
      <c r="J60" s="50">
        <f>$B60+($O60-$B60)*8/12</f>
        <v>51807.16001048332</v>
      </c>
      <c r="K60" s="50">
        <f>$B60+($O60-$B60)*9/12</f>
        <v>58283.055011793738</v>
      </c>
      <c r="L60" s="50">
        <f>$B60+($O60-$B60)*10/12</f>
        <v>64758.95001310415</v>
      </c>
      <c r="M60" s="50">
        <f>$B60+($O60-$B60)*11/12</f>
        <v>71234.845014414561</v>
      </c>
      <c r="N60" s="50">
        <f>$B60+($O60-$B60)*12/12</f>
        <v>77710.740015724979</v>
      </c>
      <c r="O60" s="50">
        <f>B60+O36-O39</f>
        <v>77710.740015724979</v>
      </c>
      <c r="P60" s="50">
        <f>$O60+($AB60-$O60)*1/12</f>
        <v>81042.91989902941</v>
      </c>
      <c r="Q60" s="50">
        <f>$O60+($AB60-$O60)*2/12</f>
        <v>84375.09978233384</v>
      </c>
      <c r="R60" s="50">
        <f>$O60+($AB60-$O60)*3/12</f>
        <v>87707.279665638271</v>
      </c>
      <c r="S60" s="50">
        <f>$O60+($AB60-$O60)*4/12</f>
        <v>91039.459548942701</v>
      </c>
      <c r="T60" s="50">
        <f>$O60+($AB60-$O60)*5/12</f>
        <v>94371.639432247131</v>
      </c>
      <c r="U60" s="50">
        <f>$O60+($AB60-$O60)*6/12</f>
        <v>97703.819315551576</v>
      </c>
      <c r="V60" s="50">
        <f>$O60+($AB60-$O60)*7/12</f>
        <v>101035.99919885601</v>
      </c>
      <c r="W60" s="50">
        <f>$O60+($AB60-$O60)*8/12</f>
        <v>104368.17908216044</v>
      </c>
      <c r="X60" s="50">
        <f>$O60+($AB60-$O60)*9/12</f>
        <v>107700.35896546487</v>
      </c>
      <c r="Y60" s="50">
        <f>$O60+($AB60-$O60)*10/12</f>
        <v>111032.5388487693</v>
      </c>
      <c r="Z60" s="50">
        <f>$O60+($AB60-$O60)*11/12</f>
        <v>114364.71873207373</v>
      </c>
      <c r="AA60" s="50">
        <f>$O60+($AB60-$O60)*12/12</f>
        <v>117696.89861537816</v>
      </c>
      <c r="AB60" s="50">
        <f>O60+AB36-AB39</f>
        <v>117696.89861537816</v>
      </c>
      <c r="AC60" s="50">
        <f>$AB60+($AO60-$AB60)*1/12</f>
        <v>121753.49233123107</v>
      </c>
      <c r="AD60" s="50">
        <f>$AB60+($AO60-$AB60)*2/12</f>
        <v>125810.086047084</v>
      </c>
      <c r="AE60" s="50">
        <f>$AB60+($AO60-$AB60)*3/12</f>
        <v>129866.67976293692</v>
      </c>
      <c r="AF60" s="50">
        <f>$AB60+($AO60-$AB60)*4/12</f>
        <v>133923.27347878984</v>
      </c>
      <c r="AG60" s="50">
        <f>$AB60+($AO60-$AB60)*5/12</f>
        <v>137979.86719464275</v>
      </c>
      <c r="AH60" s="50">
        <f>$AB60+($AO60-$AB60)*6/12</f>
        <v>142036.46091049566</v>
      </c>
      <c r="AI60" s="50">
        <f>$AB60+($AO60-$AB60)*7/12</f>
        <v>146093.0546263486</v>
      </c>
      <c r="AJ60" s="50">
        <f>$AB60+($AO60-$AB60)*8/12</f>
        <v>150149.64834220152</v>
      </c>
      <c r="AK60" s="50">
        <f>$AB60+($AO60-$AB60)*9/12</f>
        <v>154206.24205805443</v>
      </c>
      <c r="AL60" s="50">
        <f>$AB60+($AO60-$AB60)*10/12</f>
        <v>158262.83577390737</v>
      </c>
      <c r="AM60" s="50">
        <f>$AB60+($AO60-$AB60)*11/12</f>
        <v>162319.42948976028</v>
      </c>
      <c r="AN60" s="50">
        <f>$AB60+($AO60-$AB60)*12/12</f>
        <v>166376.02320561319</v>
      </c>
      <c r="AO60" s="50">
        <f>AB60+AO36-AO39</f>
        <v>166376.02320561319</v>
      </c>
      <c r="AP60" s="50">
        <f>$AO60+($BB60-$AO60)*1/12</f>
        <v>171188.03847498438</v>
      </c>
      <c r="AQ60" s="50">
        <f>$AO60+($BB60-$AO60)*2/12</f>
        <v>176000.05374435557</v>
      </c>
      <c r="AR60" s="50">
        <f>$AO60+($BB60-$AO60)*3/12</f>
        <v>180812.06901372678</v>
      </c>
      <c r="AS60" s="50">
        <f>$AO60+($BB60-$AO60)*4/12</f>
        <v>185624.08428309797</v>
      </c>
      <c r="AT60" s="50">
        <f>$AO60+($BB60-$AO60)*5/12</f>
        <v>190436.09955246915</v>
      </c>
      <c r="AU60" s="50">
        <f>$AO60+($BB60-$AO60)*6/12</f>
        <v>195248.11482184034</v>
      </c>
      <c r="AV60" s="50">
        <f>$AO60+($BB60-$AO60)*7/12</f>
        <v>200060.13009121153</v>
      </c>
      <c r="AW60" s="50">
        <f>$AO60+($BB60-$AO60)*8/12</f>
        <v>204872.14536058271</v>
      </c>
      <c r="AX60" s="50">
        <f>$AO60+($BB60-$AO60)*9/12</f>
        <v>209684.1606299539</v>
      </c>
      <c r="AY60" s="50">
        <f>$AO60+($BB60-$AO60)*10/12</f>
        <v>214496.17589932511</v>
      </c>
      <c r="AZ60" s="50">
        <f>$AO60+($BB60-$AO60)*11/12</f>
        <v>219308.1911686963</v>
      </c>
      <c r="BA60" s="50">
        <f>$AO60+($BB60-$AO60)*12/12</f>
        <v>224120.20643806749</v>
      </c>
      <c r="BB60" s="50">
        <f>AO60+BB36-BB39</f>
        <v>224120.20643806749</v>
      </c>
      <c r="BC60" s="50">
        <f>$BB60+($BO60-$BB60)*1/12</f>
        <v>229719.2209909799</v>
      </c>
      <c r="BD60" s="50">
        <f>$BB60+($BO60-$BB60)*2/12</f>
        <v>235318.23554389231</v>
      </c>
      <c r="BE60" s="50">
        <f>$BB60+($BO60-$BB60)*3/12</f>
        <v>240917.25009680472</v>
      </c>
      <c r="BF60" s="50">
        <f>$BB60+($BO60-$BB60)*4/12</f>
        <v>246516.26464971714</v>
      </c>
      <c r="BG60" s="50">
        <f>$BB60+($BO60-$BB60)*5/12</f>
        <v>252115.27920262955</v>
      </c>
      <c r="BH60" s="50">
        <f>$BB60+($BO60-$BB60)*6/12</f>
        <v>257714.29375554196</v>
      </c>
      <c r="BI60" s="50">
        <f>$BB60+($BO60-$BB60)*7/12</f>
        <v>263313.30830845435</v>
      </c>
      <c r="BJ60" s="50">
        <f>$BB60+($BO60-$BB60)*8/12</f>
        <v>268912.32286136679</v>
      </c>
      <c r="BK60" s="50">
        <f>$BB60+($BO60-$BB60)*9/12</f>
        <v>274511.33741427923</v>
      </c>
      <c r="BL60" s="50">
        <f>$BB60+($BO60-$BB60)*10/12</f>
        <v>280110.35196719161</v>
      </c>
      <c r="BM60" s="50">
        <f>$BB60+($BO60-$BB60)*11/12</f>
        <v>285709.366520104</v>
      </c>
      <c r="BN60" s="50">
        <f>$BB60+($BO60-$BB60)*12/12</f>
        <v>291308.38107301644</v>
      </c>
      <c r="BO60" s="50">
        <f>BB60+BO36-BO39</f>
        <v>291308.38107301644</v>
      </c>
    </row>
    <row r="61" ht="15" customHeight="1">
      <c r="A61" s="60" t="inlineStr">
        <is>
          <t>TOTAL EQUITY</t>
        </is>
      </c>
      <c r="B61" s="52">
        <f>B59+B60</f>
        <v>0</v>
      </c>
      <c r="C61" s="52">
        <f>C59+C60</f>
        <v>6475.895001310415</v>
      </c>
      <c r="D61" s="52">
        <f>D59+D60</f>
        <v>12951.79000262083</v>
      </c>
      <c r="E61" s="52">
        <f>E59+E60</f>
        <v>19427.685003931245</v>
      </c>
      <c r="F61" s="52">
        <f>F59+F60</f>
        <v>25903.58000524166</v>
      </c>
      <c r="G61" s="52">
        <f>G59+G60</f>
        <v>32379.475006552075</v>
      </c>
      <c r="H61" s="52">
        <f>H59+H60</f>
        <v>38855.37000786249</v>
      </c>
      <c r="I61" s="52">
        <f>I59+I60</f>
        <v>45331.265009172901</v>
      </c>
      <c r="J61" s="52">
        <f>J59+J60</f>
        <v>51807.16001048332</v>
      </c>
      <c r="K61" s="52">
        <f>K59+K60</f>
        <v>58283.055011793738</v>
      </c>
      <c r="L61" s="52">
        <f>L59+L60</f>
        <v>64758.95001310415</v>
      </c>
      <c r="M61" s="52">
        <f>M59+M60</f>
        <v>71234.845014414561</v>
      </c>
      <c r="N61" s="52">
        <f>N59+N60</f>
        <v>77710.740015724979</v>
      </c>
      <c r="O61" s="52">
        <f>O59+O60</f>
        <v>77710.740015724979</v>
      </c>
      <c r="P61" s="52">
        <f>P59+P60</f>
        <v>81042.91989902941</v>
      </c>
      <c r="Q61" s="52">
        <f>Q59+Q60</f>
        <v>84375.09978233384</v>
      </c>
      <c r="R61" s="52">
        <f>R59+R60</f>
        <v>87707.279665638271</v>
      </c>
      <c r="S61" s="52">
        <f>S59+S60</f>
        <v>91039.459548942701</v>
      </c>
      <c r="T61" s="52">
        <f>T59+T60</f>
        <v>94371.639432247131</v>
      </c>
      <c r="U61" s="52">
        <f>U59+U60</f>
        <v>97703.819315551576</v>
      </c>
      <c r="V61" s="52">
        <f>V59+V60</f>
        <v>101035.99919885601</v>
      </c>
      <c r="W61" s="52">
        <f>W59+W60</f>
        <v>104368.17908216044</v>
      </c>
      <c r="X61" s="52">
        <f>X59+X60</f>
        <v>107700.35896546487</v>
      </c>
      <c r="Y61" s="52">
        <f>Y59+Y60</f>
        <v>111032.5388487693</v>
      </c>
      <c r="Z61" s="52">
        <f>Z59+Z60</f>
        <v>114364.71873207373</v>
      </c>
      <c r="AA61" s="52">
        <f>AA59+AA60</f>
        <v>117696.89861537816</v>
      </c>
      <c r="AB61" s="52">
        <f>AB59+AB60</f>
        <v>117696.89861537816</v>
      </c>
      <c r="AC61" s="52">
        <f>AC59+AC60</f>
        <v>121753.49233123107</v>
      </c>
      <c r="AD61" s="52">
        <f>AD59+AD60</f>
        <v>125810.086047084</v>
      </c>
      <c r="AE61" s="52">
        <f>AE59+AE60</f>
        <v>129866.67976293692</v>
      </c>
      <c r="AF61" s="52">
        <f>AF59+AF60</f>
        <v>133923.27347878984</v>
      </c>
      <c r="AG61" s="52">
        <f>AG59+AG60</f>
        <v>137979.86719464275</v>
      </c>
      <c r="AH61" s="52">
        <f>AH59+AH60</f>
        <v>142036.46091049566</v>
      </c>
      <c r="AI61" s="52">
        <f>AI59+AI60</f>
        <v>146093.0546263486</v>
      </c>
      <c r="AJ61" s="52">
        <f>AJ59+AJ60</f>
        <v>150149.64834220152</v>
      </c>
      <c r="AK61" s="52">
        <f>AK59+AK60</f>
        <v>154206.24205805443</v>
      </c>
      <c r="AL61" s="52">
        <f>AL59+AL60</f>
        <v>158262.83577390737</v>
      </c>
      <c r="AM61" s="52">
        <f>AM59+AM60</f>
        <v>162319.42948976028</v>
      </c>
      <c r="AN61" s="52">
        <f>AN59+AN60</f>
        <v>166376.02320561319</v>
      </c>
      <c r="AO61" s="52">
        <f>AO59+AO60</f>
        <v>166376.02320561319</v>
      </c>
      <c r="AP61" s="52">
        <f>AP59+AP60</f>
        <v>171188.03847498438</v>
      </c>
      <c r="AQ61" s="52">
        <f>AQ59+AQ60</f>
        <v>176000.05374435557</v>
      </c>
      <c r="AR61" s="52">
        <f>AR59+AR60</f>
        <v>180812.06901372678</v>
      </c>
      <c r="AS61" s="52">
        <f>AS59+AS60</f>
        <v>185624.08428309797</v>
      </c>
      <c r="AT61" s="52">
        <f>AT59+AT60</f>
        <v>190436.09955246915</v>
      </c>
      <c r="AU61" s="52">
        <f>AU59+AU60</f>
        <v>195248.11482184034</v>
      </c>
      <c r="AV61" s="52">
        <f>AV59+AV60</f>
        <v>200060.13009121153</v>
      </c>
      <c r="AW61" s="52">
        <f>AW59+AW60</f>
        <v>204872.14536058271</v>
      </c>
      <c r="AX61" s="52">
        <f>AX59+AX60</f>
        <v>209684.1606299539</v>
      </c>
      <c r="AY61" s="52">
        <f>AY59+AY60</f>
        <v>214496.17589932511</v>
      </c>
      <c r="AZ61" s="52">
        <f>AZ59+AZ60</f>
        <v>219308.1911686963</v>
      </c>
      <c r="BA61" s="52">
        <f>BA59+BA60</f>
        <v>224120.20643806749</v>
      </c>
      <c r="BB61" s="52">
        <f>BB59+BB60</f>
        <v>224120.20643806749</v>
      </c>
      <c r="BC61" s="52">
        <f>BC59+BC60</f>
        <v>229719.2209909799</v>
      </c>
      <c r="BD61" s="52">
        <f>BD59+BD60</f>
        <v>235318.23554389231</v>
      </c>
      <c r="BE61" s="52">
        <f>BE59+BE60</f>
        <v>240917.25009680472</v>
      </c>
      <c r="BF61" s="52">
        <f>BF59+BF60</f>
        <v>246516.26464971714</v>
      </c>
      <c r="BG61" s="52">
        <f>BG59+BG60</f>
        <v>252115.27920262955</v>
      </c>
      <c r="BH61" s="52">
        <f>BH59+BH60</f>
        <v>257714.29375554196</v>
      </c>
      <c r="BI61" s="52">
        <f>BI59+BI60</f>
        <v>263313.30830845435</v>
      </c>
      <c r="BJ61" s="52">
        <f>BJ59+BJ60</f>
        <v>268912.32286136679</v>
      </c>
      <c r="BK61" s="52">
        <f>BK59+BK60</f>
        <v>274511.33741427923</v>
      </c>
      <c r="BL61" s="52">
        <f>BL59+BL60</f>
        <v>280110.35196719161</v>
      </c>
      <c r="BM61" s="52">
        <f>BM59+BM60</f>
        <v>285709.366520104</v>
      </c>
      <c r="BN61" s="52">
        <f>BN59+BN60</f>
        <v>291308.38107301644</v>
      </c>
      <c r="BO61" s="52">
        <f>BO59+BO60</f>
        <v>291308.38107301644</v>
      </c>
    </row>
    <row r="62" ht="15" customHeight="1">
      <c r="A62" s="60" t="inlineStr">
        <is>
          <t>TOTAL LIABILITIES &amp; EQUITY</t>
        </is>
      </c>
      <c r="B62" s="52">
        <f>B56+B61</f>
        <v>569999.69999999995</v>
      </c>
      <c r="C62" s="52">
        <f>C56+C61</f>
        <v>573422.95440393849</v>
      </c>
      <c r="D62" s="52">
        <f>D56+D61</f>
        <v>576846.20880787703</v>
      </c>
      <c r="E62" s="52">
        <f>E56+E61</f>
        <v>580269.46321181569</v>
      </c>
      <c r="F62" s="52">
        <f>F56+F61</f>
        <v>583692.71761575411</v>
      </c>
      <c r="G62" s="52">
        <f>G56+G61</f>
        <v>587115.97201969265</v>
      </c>
      <c r="H62" s="52">
        <f>H56+H61</f>
        <v>590539.22642363119</v>
      </c>
      <c r="I62" s="52">
        <f>I56+I61</f>
        <v>593962.48082756973</v>
      </c>
      <c r="J62" s="52">
        <f>J56+J61</f>
        <v>597385.73523150838</v>
      </c>
      <c r="K62" s="52">
        <f>K56+K61</f>
        <v>600808.98963544681</v>
      </c>
      <c r="L62" s="52">
        <f>L56+L61</f>
        <v>604232.24403938535</v>
      </c>
      <c r="M62" s="52">
        <f>M56+M61</f>
        <v>607655.49844332389</v>
      </c>
      <c r="N62" s="52">
        <f>N56+N61</f>
        <v>611078.75284726254</v>
      </c>
      <c r="O62" s="52">
        <f>O56+O61</f>
        <v>611078.75284726254</v>
      </c>
      <c r="P62" s="52">
        <f>P56+P61</f>
        <v>611068.29127644468</v>
      </c>
      <c r="Q62" s="52">
        <f>Q56+Q61</f>
        <v>611057.82970562694</v>
      </c>
      <c r="R62" s="52">
        <f>R56+R61</f>
        <v>611047.36813480919</v>
      </c>
      <c r="S62" s="52">
        <f>S56+S61</f>
        <v>611036.90656399145</v>
      </c>
      <c r="T62" s="52">
        <f>T56+T61</f>
        <v>611026.44499317359</v>
      </c>
      <c r="U62" s="52">
        <f>U56+U61</f>
        <v>611015.98342235584</v>
      </c>
      <c r="V62" s="52">
        <f>V56+V61</f>
        <v>611005.52185153798</v>
      </c>
      <c r="W62" s="52">
        <f>W56+W61</f>
        <v>610995.06028072024</v>
      </c>
      <c r="X62" s="52">
        <f>X56+X61</f>
        <v>610984.59870990249</v>
      </c>
      <c r="Y62" s="52">
        <f>Y56+Y61</f>
        <v>610974.13713908475</v>
      </c>
      <c r="Z62" s="52">
        <f>Z56+Z61</f>
        <v>610963.675568267</v>
      </c>
      <c r="AA62" s="52">
        <f>AA56+AA61</f>
        <v>610953.21399744914</v>
      </c>
      <c r="AB62" s="52">
        <f>AB56+AB61</f>
        <v>610953.21399744914</v>
      </c>
      <c r="AC62" s="52">
        <f>AC56+AC61</f>
        <v>611349.61532103829</v>
      </c>
      <c r="AD62" s="52">
        <f>AD56+AD61</f>
        <v>611746.01664462744</v>
      </c>
      <c r="AE62" s="52">
        <f>AE56+AE61</f>
        <v>612142.41796821647</v>
      </c>
      <c r="AF62" s="52">
        <f>AF56+AF61</f>
        <v>612538.81929180562</v>
      </c>
      <c r="AG62" s="52">
        <f>AG56+AG61</f>
        <v>612935.22061539476</v>
      </c>
      <c r="AH62" s="52">
        <f>AH56+AH61</f>
        <v>613331.62193898391</v>
      </c>
      <c r="AI62" s="52">
        <f>AI56+AI61</f>
        <v>613728.02326257294</v>
      </c>
      <c r="AJ62" s="52">
        <f>AJ56+AJ61</f>
        <v>614124.42458616209</v>
      </c>
      <c r="AK62" s="52">
        <f>AK56+AK61</f>
        <v>614520.82590975123</v>
      </c>
      <c r="AL62" s="52">
        <f>AL56+AL61</f>
        <v>614917.22723334027</v>
      </c>
      <c r="AM62" s="52">
        <f>AM56+AM61</f>
        <v>615313.62855692941</v>
      </c>
      <c r="AN62" s="52">
        <f>AN56+AN61</f>
        <v>615710.02988051856</v>
      </c>
      <c r="AO62" s="52">
        <f>AO56+AO61</f>
        <v>615710.02988051856</v>
      </c>
      <c r="AP62" s="52">
        <f>AP56+AP61</f>
        <v>616514.1344803609</v>
      </c>
      <c r="AQ62" s="52">
        <f>AQ56+AQ61</f>
        <v>617318.23908020323</v>
      </c>
      <c r="AR62" s="52">
        <f>AR56+AR61</f>
        <v>618122.34368004557</v>
      </c>
      <c r="AS62" s="52">
        <f>AS56+AS61</f>
        <v>618926.4482798879</v>
      </c>
      <c r="AT62" s="52">
        <f>AT56+AT61</f>
        <v>619730.55287973024</v>
      </c>
      <c r="AU62" s="52">
        <f>AU56+AU61</f>
        <v>620534.65747957246</v>
      </c>
      <c r="AV62" s="52">
        <f>AV56+AV61</f>
        <v>621338.7620794148</v>
      </c>
      <c r="AW62" s="52">
        <f>AW56+AW61</f>
        <v>622142.86667925713</v>
      </c>
      <c r="AX62" s="52">
        <f>AX56+AX61</f>
        <v>622946.97127909935</v>
      </c>
      <c r="AY62" s="52">
        <f>AY56+AY61</f>
        <v>623751.0758789418</v>
      </c>
      <c r="AZ62" s="52">
        <f>AZ56+AZ61</f>
        <v>624555.18047878414</v>
      </c>
      <c r="BA62" s="52">
        <f>BA56+BA61</f>
        <v>625359.28507862636</v>
      </c>
      <c r="BB62" s="52">
        <f>BB56+BB61</f>
        <v>625359.28507862636</v>
      </c>
      <c r="BC62" s="52">
        <f>BC56+BC61</f>
        <v>626569.63744840468</v>
      </c>
      <c r="BD62" s="52">
        <f>BD56+BD61</f>
        <v>627779.98981818301</v>
      </c>
      <c r="BE62" s="52">
        <f>BE56+BE61</f>
        <v>628990.34218796133</v>
      </c>
      <c r="BF62" s="52">
        <f>BF56+BF61</f>
        <v>630200.69455773965</v>
      </c>
      <c r="BG62" s="52">
        <f>BG56+BG61</f>
        <v>631411.04692751786</v>
      </c>
      <c r="BH62" s="52">
        <f>BH56+BH61</f>
        <v>632621.39929729607</v>
      </c>
      <c r="BI62" s="52">
        <f>BI56+BI61</f>
        <v>633831.75166707439</v>
      </c>
      <c r="BJ62" s="52">
        <f>BJ56+BJ61</f>
        <v>635042.10403685272</v>
      </c>
      <c r="BK62" s="52">
        <f>BK56+BK61</f>
        <v>636252.45640663104</v>
      </c>
      <c r="BL62" s="52">
        <f>BL56+BL61</f>
        <v>637462.80877640937</v>
      </c>
      <c r="BM62" s="52">
        <f>BM56+BM61</f>
        <v>638673.16114618757</v>
      </c>
      <c r="BN62" s="52">
        <f>BN56+BN61</f>
        <v>639883.5135159659</v>
      </c>
      <c r="BO62" s="52">
        <f>BO56+BO61</f>
        <v>639883.5135159659</v>
      </c>
    </row>
    <row r="63" ht="15" customHeight="1">
      <c r="A63" s="49" t="inlineStr">
        <is>
          <t>Check: Total Assets less Total Liabilities &amp; Equity</t>
        </is>
      </c>
      <c r="B63" s="77">
        <f>B51-B62</f>
        <v>0</v>
      </c>
      <c r="C63" s="77">
        <f>C51-C62</f>
        <v>0</v>
      </c>
      <c r="D63" s="77">
        <f>D51-D62</f>
        <v>0</v>
      </c>
      <c r="E63" s="77">
        <f>E51-E62</f>
        <v>0</v>
      </c>
      <c r="F63" s="77">
        <f>F51-F62</f>
        <v>1.1641532182693481e-10</v>
      </c>
      <c r="G63" s="77">
        <f>G51-G62</f>
        <v>1.1641532182693481e-10</v>
      </c>
      <c r="H63" s="77">
        <f>H51-H62</f>
        <v>1.1641532182693481e-10</v>
      </c>
      <c r="I63" s="77">
        <f>I51-I62</f>
        <v>1.1641532182693481e-10</v>
      </c>
      <c r="J63" s="77">
        <f>J51-J62</f>
        <v>0</v>
      </c>
      <c r="K63" s="77">
        <f>K51-K62</f>
        <v>1.1641532182693481e-10</v>
      </c>
      <c r="L63" s="77">
        <f>L51-L62</f>
        <v>1.1641532182693481e-10</v>
      </c>
      <c r="M63" s="77">
        <f>M51-M62</f>
        <v>1.1641532182693481e-10</v>
      </c>
      <c r="N63" s="77">
        <f>N51-N62</f>
        <v>0</v>
      </c>
      <c r="O63" s="77">
        <f>O51-O62</f>
        <v>0</v>
      </c>
      <c r="P63" s="77">
        <f>P51-P62</f>
        <v>1.1641532182693481e-10</v>
      </c>
      <c r="Q63" s="77">
        <f>Q51-Q62</f>
        <v>0</v>
      </c>
      <c r="R63" s="77">
        <f>R51-R62</f>
        <v>0</v>
      </c>
      <c r="S63" s="77">
        <f>S51-S62</f>
        <v>0</v>
      </c>
      <c r="T63" s="77">
        <f>T51-T62</f>
        <v>1.1641532182693481e-10</v>
      </c>
      <c r="U63" s="77">
        <f>U51-U62</f>
        <v>0</v>
      </c>
      <c r="V63" s="77">
        <f>V51-V62</f>
        <v>1.1641532182693481e-10</v>
      </c>
      <c r="W63" s="77">
        <f>W51-W62</f>
        <v>1.1641532182693481e-10</v>
      </c>
      <c r="X63" s="77">
        <f>X51-X62</f>
        <v>0</v>
      </c>
      <c r="Y63" s="77">
        <f>Y51-Y62</f>
        <v>0</v>
      </c>
      <c r="Z63" s="77">
        <f>Z51-Z62</f>
        <v>0</v>
      </c>
      <c r="AA63" s="77">
        <f>AA51-AA62</f>
        <v>1.1641532182693481e-10</v>
      </c>
      <c r="AB63" s="77">
        <f>AB51-AB62</f>
        <v>1.1641532182693481e-10</v>
      </c>
      <c r="AC63" s="77">
        <f>AC51-AC62</f>
        <v>0</v>
      </c>
      <c r="AD63" s="77">
        <f>AD51-AD62</f>
        <v>0</v>
      </c>
      <c r="AE63" s="77">
        <f>AE51-AE62</f>
        <v>1.1641532182693481e-10</v>
      </c>
      <c r="AF63" s="77">
        <f>AF51-AF62</f>
        <v>1.1641532182693481e-10</v>
      </c>
      <c r="AG63" s="77">
        <f>AG51-AG62</f>
        <v>1.1641532182693481e-10</v>
      </c>
      <c r="AH63" s="77">
        <f>AH51-AH62</f>
        <v>0</v>
      </c>
      <c r="AI63" s="77">
        <f>AI51-AI62</f>
        <v>1.1641532182693481e-10</v>
      </c>
      <c r="AJ63" s="77">
        <f>AJ51-AJ62</f>
        <v>1.1641532182693481e-10</v>
      </c>
      <c r="AK63" s="77">
        <f>AK51-AK62</f>
        <v>0</v>
      </c>
      <c r="AL63" s="77">
        <f>AL51-AL62</f>
        <v>1.1641532182693481e-10</v>
      </c>
      <c r="AM63" s="77">
        <f>AM51-AM62</f>
        <v>1.1641532182693481e-10</v>
      </c>
      <c r="AN63" s="77">
        <f>AN51-AN62</f>
        <v>1.1641532182693481e-10</v>
      </c>
      <c r="AO63" s="77">
        <f>AO51-AO62</f>
        <v>1.1641532182693481e-10</v>
      </c>
      <c r="AP63" s="77">
        <f>AP51-AP62</f>
        <v>0</v>
      </c>
      <c r="AQ63" s="77">
        <f>AQ51-AQ62</f>
        <v>0</v>
      </c>
      <c r="AR63" s="77">
        <f>AR51-AR62</f>
        <v>0</v>
      </c>
      <c r="AS63" s="77">
        <f>AS51-AS62</f>
        <v>0</v>
      </c>
      <c r="AT63" s="77">
        <f>AT51-AT62</f>
        <v>0</v>
      </c>
      <c r="AU63" s="77">
        <f>AU51-AU62</f>
        <v>1.1641532182693481e-10</v>
      </c>
      <c r="AV63" s="77">
        <f>AV51-AV62</f>
        <v>1.1641532182693481e-10</v>
      </c>
      <c r="AW63" s="77">
        <f>AW51-AW62</f>
        <v>1.1641532182693481e-10</v>
      </c>
      <c r="AX63" s="77">
        <f>AX51-AX62</f>
        <v>2.3283064365386963e-10</v>
      </c>
      <c r="AY63" s="77">
        <f>AY51-AY62</f>
        <v>1.1641532182693481e-10</v>
      </c>
      <c r="AZ63" s="77">
        <f>AZ51-AZ62</f>
        <v>1.1641532182693481e-10</v>
      </c>
      <c r="BA63" s="77">
        <f>BA51-BA62</f>
        <v>2.3283064365386963e-10</v>
      </c>
      <c r="BB63" s="77">
        <f>BB51-BB62</f>
        <v>2.3283064365386963e-10</v>
      </c>
      <c r="BC63" s="77">
        <f>BC51-BC62</f>
        <v>1.1641532182693481e-10</v>
      </c>
      <c r="BD63" s="77">
        <f>BD51-BD62</f>
        <v>1.1641532182693481e-10</v>
      </c>
      <c r="BE63" s="77">
        <f>BE51-BE62</f>
        <v>1.1641532182693481e-10</v>
      </c>
      <c r="BF63" s="77">
        <f>BF51-BF62</f>
        <v>1.1641532182693481e-10</v>
      </c>
      <c r="BG63" s="77">
        <f>BG51-BG62</f>
        <v>1.1641532182693481e-10</v>
      </c>
      <c r="BH63" s="77">
        <f>BH51-BH62</f>
        <v>2.3283064365386963e-10</v>
      </c>
      <c r="BI63" s="77">
        <f>BI51-BI62</f>
        <v>2.3283064365386963e-10</v>
      </c>
      <c r="BJ63" s="77">
        <f>BJ51-BJ62</f>
        <v>2.3283064365386963e-10</v>
      </c>
      <c r="BK63" s="77">
        <f>BK51-BK62</f>
        <v>1.1641532182693481e-10</v>
      </c>
      <c r="BL63" s="77">
        <f>BL51-BL62</f>
        <v>1.1641532182693481e-10</v>
      </c>
      <c r="BM63" s="77">
        <f>BM51-BM62</f>
        <v>2.3283064365386963e-10</v>
      </c>
      <c r="BN63" s="77">
        <f>BN51-BN62</f>
        <v>1.1641532182693481e-10</v>
      </c>
      <c r="BO63" s="77">
        <f>BO51-BO62</f>
        <v>1.1641532182693481e-10</v>
      </c>
    </row>
    <row r="64"/>
    <row r="65" ht="15" customHeight="1">
      <c r="A65" s="46" t="inlineStr">
        <is>
          <t>STATEMENT OF CASH FLOWS (INDIRECT METHOD)</t>
        </is>
      </c>
      <c r="B65" s="46" t="n"/>
      <c r="C65" s="46" t="n"/>
      <c r="D65" s="46" t="n"/>
      <c r="E65" s="46" t="n"/>
      <c r="F65" s="46" t="n"/>
      <c r="G65" s="46" t="n"/>
    </row>
    <row r="66" ht="15" customHeight="1">
      <c r="A66" s="47" t="n"/>
      <c r="B66" s="48" t="inlineStr">
        <is>
          <t>At Close</t>
        </is>
      </c>
      <c r="C66" s="48" t="inlineStr">
        <is>
          <t>M1</t>
        </is>
      </c>
      <c r="D66" s="48" t="inlineStr">
        <is>
          <t>M2</t>
        </is>
      </c>
      <c r="E66" s="48" t="inlineStr">
        <is>
          <t>M3</t>
        </is>
      </c>
      <c r="F66" s="48" t="inlineStr">
        <is>
          <t>M4</t>
        </is>
      </c>
      <c r="G66" s="48" t="inlineStr">
        <is>
          <t>M5</t>
        </is>
      </c>
      <c r="H66" s="48" t="inlineStr">
        <is>
          <t>M6</t>
        </is>
      </c>
      <c r="I66" s="48" t="inlineStr">
        <is>
          <t>M7</t>
        </is>
      </c>
      <c r="J66" s="48" t="inlineStr">
        <is>
          <t>M8</t>
        </is>
      </c>
      <c r="K66" s="48" t="inlineStr">
        <is>
          <t>M9</t>
        </is>
      </c>
      <c r="L66" s="48" t="inlineStr">
        <is>
          <t>M10</t>
        </is>
      </c>
      <c r="M66" s="48" t="inlineStr">
        <is>
          <t>M11</t>
        </is>
      </c>
      <c r="N66" s="48" t="inlineStr">
        <is>
          <t>M12</t>
        </is>
      </c>
      <c r="O66" s="48" t="inlineStr">
        <is>
          <t>Year 1</t>
        </is>
      </c>
      <c r="P66" s="48" t="inlineStr">
        <is>
          <t>M1</t>
        </is>
      </c>
      <c r="Q66" s="48" t="inlineStr">
        <is>
          <t>M2</t>
        </is>
      </c>
      <c r="R66" s="48" t="inlineStr">
        <is>
          <t>M3</t>
        </is>
      </c>
      <c r="S66" s="48" t="inlineStr">
        <is>
          <t>M4</t>
        </is>
      </c>
      <c r="T66" s="48" t="inlineStr">
        <is>
          <t>M5</t>
        </is>
      </c>
      <c r="U66" s="48" t="inlineStr">
        <is>
          <t>M6</t>
        </is>
      </c>
      <c r="V66" s="48" t="inlineStr">
        <is>
          <t>M7</t>
        </is>
      </c>
      <c r="W66" s="48" t="inlineStr">
        <is>
          <t>M8</t>
        </is>
      </c>
      <c r="X66" s="48" t="inlineStr">
        <is>
          <t>M9</t>
        </is>
      </c>
      <c r="Y66" s="48" t="inlineStr">
        <is>
          <t>M10</t>
        </is>
      </c>
      <c r="Z66" s="48" t="inlineStr">
        <is>
          <t>M11</t>
        </is>
      </c>
      <c r="AA66" s="48" t="inlineStr">
        <is>
          <t>M12</t>
        </is>
      </c>
      <c r="AB66" s="48" t="inlineStr">
        <is>
          <t>Year 2</t>
        </is>
      </c>
      <c r="AC66" s="48" t="inlineStr">
        <is>
          <t>M1</t>
        </is>
      </c>
      <c r="AD66" s="48" t="inlineStr">
        <is>
          <t>M2</t>
        </is>
      </c>
      <c r="AE66" s="48" t="inlineStr">
        <is>
          <t>M3</t>
        </is>
      </c>
      <c r="AF66" s="48" t="inlineStr">
        <is>
          <t>M4</t>
        </is>
      </c>
      <c r="AG66" s="48" t="inlineStr">
        <is>
          <t>M5</t>
        </is>
      </c>
      <c r="AH66" s="48" t="inlineStr">
        <is>
          <t>M6</t>
        </is>
      </c>
      <c r="AI66" s="48" t="inlineStr">
        <is>
          <t>M7</t>
        </is>
      </c>
      <c r="AJ66" s="48" t="inlineStr">
        <is>
          <t>M8</t>
        </is>
      </c>
      <c r="AK66" s="48" t="inlineStr">
        <is>
          <t>M9</t>
        </is>
      </c>
      <c r="AL66" s="48" t="inlineStr">
        <is>
          <t>M10</t>
        </is>
      </c>
      <c r="AM66" s="48" t="inlineStr">
        <is>
          <t>M11</t>
        </is>
      </c>
      <c r="AN66" s="48" t="inlineStr">
        <is>
          <t>M12</t>
        </is>
      </c>
      <c r="AO66" s="48" t="inlineStr">
        <is>
          <t>Year 3</t>
        </is>
      </c>
      <c r="AP66" s="48" t="inlineStr">
        <is>
          <t>M1</t>
        </is>
      </c>
      <c r="AQ66" s="48" t="inlineStr">
        <is>
          <t>M2</t>
        </is>
      </c>
      <c r="AR66" s="48" t="inlineStr">
        <is>
          <t>M3</t>
        </is>
      </c>
      <c r="AS66" s="48" t="inlineStr">
        <is>
          <t>M4</t>
        </is>
      </c>
      <c r="AT66" s="48" t="inlineStr">
        <is>
          <t>M5</t>
        </is>
      </c>
      <c r="AU66" s="48" t="inlineStr">
        <is>
          <t>M6</t>
        </is>
      </c>
      <c r="AV66" s="48" t="inlineStr">
        <is>
          <t>M7</t>
        </is>
      </c>
      <c r="AW66" s="48" t="inlineStr">
        <is>
          <t>M8</t>
        </is>
      </c>
      <c r="AX66" s="48" t="inlineStr">
        <is>
          <t>M9</t>
        </is>
      </c>
      <c r="AY66" s="48" t="inlineStr">
        <is>
          <t>M10</t>
        </is>
      </c>
      <c r="AZ66" s="48" t="inlineStr">
        <is>
          <t>M11</t>
        </is>
      </c>
      <c r="BA66" s="48" t="inlineStr">
        <is>
          <t>M12</t>
        </is>
      </c>
      <c r="BB66" s="48" t="inlineStr">
        <is>
          <t>Year 4</t>
        </is>
      </c>
      <c r="BC66" s="48" t="inlineStr">
        <is>
          <t>M1</t>
        </is>
      </c>
      <c r="BD66" s="48" t="inlineStr">
        <is>
          <t>M2</t>
        </is>
      </c>
      <c r="BE66" s="48" t="inlineStr">
        <is>
          <t>M3</t>
        </is>
      </c>
      <c r="BF66" s="48" t="inlineStr">
        <is>
          <t>M4</t>
        </is>
      </c>
      <c r="BG66" s="48" t="inlineStr">
        <is>
          <t>M5</t>
        </is>
      </c>
      <c r="BH66" s="48" t="inlineStr">
        <is>
          <t>M6</t>
        </is>
      </c>
      <c r="BI66" s="48" t="inlineStr">
        <is>
          <t>M7</t>
        </is>
      </c>
      <c r="BJ66" s="48" t="inlineStr">
        <is>
          <t>M8</t>
        </is>
      </c>
      <c r="BK66" s="48" t="inlineStr">
        <is>
          <t>M9</t>
        </is>
      </c>
      <c r="BL66" s="48" t="inlineStr">
        <is>
          <t>M10</t>
        </is>
      </c>
      <c r="BM66" s="48" t="inlineStr">
        <is>
          <t>M11</t>
        </is>
      </c>
      <c r="BN66" s="48" t="inlineStr">
        <is>
          <t>M12</t>
        </is>
      </c>
      <c r="BO66" s="48" t="inlineStr">
        <is>
          <t>Year 5</t>
        </is>
      </c>
    </row>
    <row r="67" ht="15" customHeight="1">
      <c r="A67" s="44" t="inlineStr">
        <is>
          <t>Operating Activities</t>
        </is>
      </c>
    </row>
    <row r="68" ht="15" customHeight="1">
      <c r="A68" s="49" t="inlineStr">
        <is>
          <t>Net Income</t>
        </is>
      </c>
      <c r="C68" s="50">
        <f>C36</f>
        <v>7618.7000015416597</v>
      </c>
      <c r="D68" s="50">
        <f>D36</f>
        <v>7618.7000015416597</v>
      </c>
      <c r="E68" s="50">
        <f>E36</f>
        <v>7618.7000015416597</v>
      </c>
      <c r="F68" s="50">
        <f>F36</f>
        <v>7618.7000015416597</v>
      </c>
      <c r="G68" s="50">
        <f>G36</f>
        <v>7618.7000015416597</v>
      </c>
      <c r="H68" s="50">
        <f>H36</f>
        <v>7618.7000015416597</v>
      </c>
      <c r="I68" s="50">
        <f>I36</f>
        <v>7618.7000015416597</v>
      </c>
      <c r="J68" s="50">
        <f>J36</f>
        <v>7618.7000015416597</v>
      </c>
      <c r="K68" s="50">
        <f>K36</f>
        <v>7618.7000015416597</v>
      </c>
      <c r="L68" s="50">
        <f>L36</f>
        <v>7618.7000015416597</v>
      </c>
      <c r="M68" s="50">
        <f>M36</f>
        <v>7618.7000015416597</v>
      </c>
      <c r="N68" s="50">
        <f>N36</f>
        <v>7618.7000015416597</v>
      </c>
      <c r="O68" s="50">
        <f>O36</f>
        <v>91424.400018499975</v>
      </c>
      <c r="P68" s="50">
        <f>P36</f>
        <v>3920.2116274169812</v>
      </c>
      <c r="Q68" s="50">
        <f>Q36</f>
        <v>3920.2116274169812</v>
      </c>
      <c r="R68" s="50">
        <f>R36</f>
        <v>3920.2116274169812</v>
      </c>
      <c r="S68" s="50">
        <f>S36</f>
        <v>3920.2116274169812</v>
      </c>
      <c r="T68" s="50">
        <f>T36</f>
        <v>3920.2116274169812</v>
      </c>
      <c r="U68" s="50">
        <f>U36</f>
        <v>3920.2116274169812</v>
      </c>
      <c r="V68" s="50">
        <f>V36</f>
        <v>3920.2116274169812</v>
      </c>
      <c r="W68" s="50">
        <f>W36</f>
        <v>3920.2116274169812</v>
      </c>
      <c r="X68" s="50">
        <f>X36</f>
        <v>3920.2116274169812</v>
      </c>
      <c r="Y68" s="50">
        <f>Y36</f>
        <v>3920.2116274169812</v>
      </c>
      <c r="Z68" s="50">
        <f>Z36</f>
        <v>3920.2116274169812</v>
      </c>
      <c r="AA68" s="50">
        <f>AA36</f>
        <v>3920.2116274169812</v>
      </c>
      <c r="AB68" s="50">
        <f>AB36</f>
        <v>47042.539529003749</v>
      </c>
      <c r="AC68" s="50">
        <f>AC36</f>
        <v>4772.463195121094</v>
      </c>
      <c r="AD68" s="50">
        <f>AD36</f>
        <v>4772.463195121094</v>
      </c>
      <c r="AE68" s="50">
        <f>AE36</f>
        <v>4772.463195121094</v>
      </c>
      <c r="AF68" s="50">
        <f>AF36</f>
        <v>4772.463195121094</v>
      </c>
      <c r="AG68" s="50">
        <f>AG36</f>
        <v>4772.463195121094</v>
      </c>
      <c r="AH68" s="50">
        <f>AH36</f>
        <v>4772.463195121094</v>
      </c>
      <c r="AI68" s="50">
        <f>AI36</f>
        <v>4772.463195121094</v>
      </c>
      <c r="AJ68" s="50">
        <f>AJ36</f>
        <v>4772.463195121094</v>
      </c>
      <c r="AK68" s="50">
        <f>AK36</f>
        <v>4772.463195121094</v>
      </c>
      <c r="AL68" s="50">
        <f>AL36</f>
        <v>4772.463195121094</v>
      </c>
      <c r="AM68" s="50">
        <f>AM36</f>
        <v>4772.463195121094</v>
      </c>
      <c r="AN68" s="50">
        <f>AN36</f>
        <v>4772.463195121094</v>
      </c>
      <c r="AO68" s="50">
        <f>AO36</f>
        <v>57269.55834145299</v>
      </c>
      <c r="AP68" s="50">
        <f>AP36</f>
        <v>5661.1944345543488</v>
      </c>
      <c r="AQ68" s="50">
        <f>AQ36</f>
        <v>5661.1944345543488</v>
      </c>
      <c r="AR68" s="50">
        <f>AR36</f>
        <v>5661.1944345543488</v>
      </c>
      <c r="AS68" s="50">
        <f>AS36</f>
        <v>5661.1944345543488</v>
      </c>
      <c r="AT68" s="50">
        <f>AT36</f>
        <v>5661.1944345543488</v>
      </c>
      <c r="AU68" s="50">
        <f>AU36</f>
        <v>5661.1944345543488</v>
      </c>
      <c r="AV68" s="50">
        <f>AV36</f>
        <v>5661.1944345543488</v>
      </c>
      <c r="AW68" s="50">
        <f>AW36</f>
        <v>5661.1944345543488</v>
      </c>
      <c r="AX68" s="50">
        <f>AX36</f>
        <v>5661.1944345543488</v>
      </c>
      <c r="AY68" s="50">
        <f>AY36</f>
        <v>5661.1944345543488</v>
      </c>
      <c r="AZ68" s="50">
        <f>AZ36</f>
        <v>5661.1944345543488</v>
      </c>
      <c r="BA68" s="50">
        <f>BA36</f>
        <v>5661.1944345543488</v>
      </c>
      <c r="BB68" s="50">
        <f>BB36</f>
        <v>67934.333214652113</v>
      </c>
      <c r="BC68" s="50">
        <f>BC36</f>
        <v>6587.0759446028387</v>
      </c>
      <c r="BD68" s="50">
        <f>BD36</f>
        <v>6587.0759446028387</v>
      </c>
      <c r="BE68" s="50">
        <f>BE36</f>
        <v>6587.0759446028387</v>
      </c>
      <c r="BF68" s="50">
        <f>BF36</f>
        <v>6587.0759446028387</v>
      </c>
      <c r="BG68" s="50">
        <f>BG36</f>
        <v>6587.0759446028387</v>
      </c>
      <c r="BH68" s="50">
        <f>BH36</f>
        <v>6587.0759446028387</v>
      </c>
      <c r="BI68" s="50">
        <f>BI36</f>
        <v>6587.0759446028387</v>
      </c>
      <c r="BJ68" s="50">
        <f>BJ36</f>
        <v>6587.0759446028387</v>
      </c>
      <c r="BK68" s="50">
        <f>BK36</f>
        <v>6587.0759446028387</v>
      </c>
      <c r="BL68" s="50">
        <f>BL36</f>
        <v>6587.0759446028387</v>
      </c>
      <c r="BM68" s="50">
        <f>BM36</f>
        <v>6587.0759446028387</v>
      </c>
      <c r="BN68" s="50">
        <f>BN36</f>
        <v>6587.0759446028387</v>
      </c>
      <c r="BO68" s="50">
        <f>BO36</f>
        <v>79044.911335234094</v>
      </c>
    </row>
    <row r="69" ht="15" customHeight="1">
      <c r="A69" s="49" t="inlineStr">
        <is>
          <t>Add: Depreciation &amp; Amortization</t>
        </is>
      </c>
      <c r="C69" s="50">
        <f>C27</f>
        <v>3000</v>
      </c>
      <c r="D69" s="50">
        <f>D27</f>
        <v>3000</v>
      </c>
      <c r="E69" s="50">
        <f>E27</f>
        <v>3000</v>
      </c>
      <c r="F69" s="50">
        <f>F27</f>
        <v>3000</v>
      </c>
      <c r="G69" s="50">
        <f>G27</f>
        <v>3000</v>
      </c>
      <c r="H69" s="50">
        <f>H27</f>
        <v>3000</v>
      </c>
      <c r="I69" s="50">
        <f>I27</f>
        <v>3000</v>
      </c>
      <c r="J69" s="50">
        <f>J27</f>
        <v>3000</v>
      </c>
      <c r="K69" s="50">
        <f>K27</f>
        <v>3000</v>
      </c>
      <c r="L69" s="50">
        <f>L27</f>
        <v>3000</v>
      </c>
      <c r="M69" s="50">
        <f>M27</f>
        <v>3000</v>
      </c>
      <c r="N69" s="50">
        <f>N27</f>
        <v>3000</v>
      </c>
      <c r="O69" s="50">
        <f>O27</f>
        <v>36000</v>
      </c>
      <c r="P69" s="50">
        <f>P27</f>
        <v>3000</v>
      </c>
      <c r="Q69" s="50">
        <f>Q27</f>
        <v>3000</v>
      </c>
      <c r="R69" s="50">
        <f>R27</f>
        <v>3000</v>
      </c>
      <c r="S69" s="50">
        <f>S27</f>
        <v>3000</v>
      </c>
      <c r="T69" s="50">
        <f>T27</f>
        <v>3000</v>
      </c>
      <c r="U69" s="50">
        <f>U27</f>
        <v>3000</v>
      </c>
      <c r="V69" s="50">
        <f>V27</f>
        <v>3000</v>
      </c>
      <c r="W69" s="50">
        <f>W27</f>
        <v>3000</v>
      </c>
      <c r="X69" s="50">
        <f>X27</f>
        <v>3000</v>
      </c>
      <c r="Y69" s="50">
        <f>Y27</f>
        <v>3000</v>
      </c>
      <c r="Z69" s="50">
        <f>Z27</f>
        <v>3000</v>
      </c>
      <c r="AA69" s="50">
        <f>AA27</f>
        <v>3000</v>
      </c>
      <c r="AB69" s="50">
        <f>AB27</f>
        <v>36000</v>
      </c>
      <c r="AC69" s="50">
        <f>AC27</f>
        <v>3000</v>
      </c>
      <c r="AD69" s="50">
        <f>AD27</f>
        <v>3000</v>
      </c>
      <c r="AE69" s="50">
        <f>AE27</f>
        <v>3000</v>
      </c>
      <c r="AF69" s="50">
        <f>AF27</f>
        <v>3000</v>
      </c>
      <c r="AG69" s="50">
        <f>AG27</f>
        <v>3000</v>
      </c>
      <c r="AH69" s="50">
        <f>AH27</f>
        <v>3000</v>
      </c>
      <c r="AI69" s="50">
        <f>AI27</f>
        <v>3000</v>
      </c>
      <c r="AJ69" s="50">
        <f>AJ27</f>
        <v>3000</v>
      </c>
      <c r="AK69" s="50">
        <f>AK27</f>
        <v>3000</v>
      </c>
      <c r="AL69" s="50">
        <f>AL27</f>
        <v>3000</v>
      </c>
      <c r="AM69" s="50">
        <f>AM27</f>
        <v>3000</v>
      </c>
      <c r="AN69" s="50">
        <f>AN27</f>
        <v>3000</v>
      </c>
      <c r="AO69" s="50">
        <f>AO27</f>
        <v>36000</v>
      </c>
      <c r="AP69" s="50">
        <f>AP27</f>
        <v>3000</v>
      </c>
      <c r="AQ69" s="50">
        <f>AQ27</f>
        <v>3000</v>
      </c>
      <c r="AR69" s="50">
        <f>AR27</f>
        <v>3000</v>
      </c>
      <c r="AS69" s="50">
        <f>AS27</f>
        <v>3000</v>
      </c>
      <c r="AT69" s="50">
        <f>AT27</f>
        <v>3000</v>
      </c>
      <c r="AU69" s="50">
        <f>AU27</f>
        <v>3000</v>
      </c>
      <c r="AV69" s="50">
        <f>AV27</f>
        <v>3000</v>
      </c>
      <c r="AW69" s="50">
        <f>AW27</f>
        <v>3000</v>
      </c>
      <c r="AX69" s="50">
        <f>AX27</f>
        <v>3000</v>
      </c>
      <c r="AY69" s="50">
        <f>AY27</f>
        <v>3000</v>
      </c>
      <c r="AZ69" s="50">
        <f>AZ27</f>
        <v>3000</v>
      </c>
      <c r="BA69" s="50">
        <f>BA27</f>
        <v>3000</v>
      </c>
      <c r="BB69" s="50">
        <f>BB27</f>
        <v>36000</v>
      </c>
      <c r="BC69" s="50">
        <f>BC27</f>
        <v>3000</v>
      </c>
      <c r="BD69" s="50">
        <f>BD27</f>
        <v>3000</v>
      </c>
      <c r="BE69" s="50">
        <f>BE27</f>
        <v>3000</v>
      </c>
      <c r="BF69" s="50">
        <f>BF27</f>
        <v>3000</v>
      </c>
      <c r="BG69" s="50">
        <f>BG27</f>
        <v>3000</v>
      </c>
      <c r="BH69" s="50">
        <f>BH27</f>
        <v>3000</v>
      </c>
      <c r="BI69" s="50">
        <f>BI27</f>
        <v>3000</v>
      </c>
      <c r="BJ69" s="50">
        <f>BJ27</f>
        <v>3000</v>
      </c>
      <c r="BK69" s="50">
        <f>BK27</f>
        <v>3000</v>
      </c>
      <c r="BL69" s="50">
        <f>BL27</f>
        <v>3000</v>
      </c>
      <c r="BM69" s="50">
        <f>BM27</f>
        <v>3000</v>
      </c>
      <c r="BN69" s="50">
        <f>BN27</f>
        <v>3000</v>
      </c>
      <c r="BO69" s="50">
        <f>BO27</f>
        <v>36000</v>
      </c>
    </row>
    <row r="70" ht="15" customHeight="1">
      <c r="A70" s="49" t="inlineStr">
        <is>
          <t>(Increase) / Decrease in Net Working Capital</t>
        </is>
      </c>
      <c r="C70" s="50">
        <f>-(C47-B47)</f>
        <v>410.45564862499992</v>
      </c>
      <c r="D70" s="50">
        <f>-(D47-C47)</f>
        <v>410.45564862499992</v>
      </c>
      <c r="E70" s="50">
        <f>-(E47-D47)</f>
        <v>410.45564862499998</v>
      </c>
      <c r="F70" s="50">
        <f>-(F47-E47)</f>
        <v>410.45564862499987</v>
      </c>
      <c r="G70" s="50">
        <f>-(G47-F47)</f>
        <v>410.45564862500009</v>
      </c>
      <c r="H70" s="50">
        <f>-(H47-G47)</f>
        <v>410.45564862499987</v>
      </c>
      <c r="I70" s="50">
        <f>-(I47-H47)</f>
        <v>410.45564862500032</v>
      </c>
      <c r="J70" s="50">
        <f>-(J47-I47)</f>
        <v>410.45564862499941</v>
      </c>
      <c r="K70" s="50">
        <f>-(K47-J47)</f>
        <v>410.45564862499987</v>
      </c>
      <c r="L70" s="50">
        <f>-(L47-K47)</f>
        <v>410.45564862500032</v>
      </c>
      <c r="M70" s="50">
        <f>-(M47-L47)</f>
        <v>410.45564862499941</v>
      </c>
      <c r="N70" s="50">
        <f>-(N47-M47)</f>
        <v>410.45564862500032</v>
      </c>
      <c r="O70" s="50">
        <f>-((O7*Assumptions!E104)-(0))</f>
        <v>4925.4677834999993</v>
      </c>
      <c r="P70" s="50">
        <f>-(P47-O47)</f>
        <v>18.470504188125233</v>
      </c>
      <c r="Q70" s="50">
        <f>-(Q47-P47)</f>
        <v>18.470504188124323</v>
      </c>
      <c r="R70" s="50">
        <f>-(R47-Q47)</f>
        <v>18.470504188125233</v>
      </c>
      <c r="S70" s="50">
        <f>-(S47-R47)</f>
        <v>18.470504188125233</v>
      </c>
      <c r="T70" s="50">
        <f>-(T47-S47)</f>
        <v>18.470504188124323</v>
      </c>
      <c r="U70" s="50">
        <f>-(U47-T47)</f>
        <v>18.470504188125233</v>
      </c>
      <c r="V70" s="50">
        <f>-(V47-U47)</f>
        <v>18.470504188125233</v>
      </c>
      <c r="W70" s="50">
        <f>-(W47-V47)</f>
        <v>18.470504188124323</v>
      </c>
      <c r="X70" s="50">
        <f>-(X47-W47)</f>
        <v>18.470504188125233</v>
      </c>
      <c r="Y70" s="50">
        <f>-(Y47-X47)</f>
        <v>18.470504188125233</v>
      </c>
      <c r="Z70" s="50">
        <f>-(Z47-Y47)</f>
        <v>18.470504188124323</v>
      </c>
      <c r="AA70" s="50">
        <f>-(AA47-Z47)</f>
        <v>18.470504188125233</v>
      </c>
      <c r="AB70" s="50">
        <f>-((AB7*Assumptions!E104)-(O7*Assumptions!E104))</f>
        <v>221.64605025749916</v>
      </c>
      <c r="AC70" s="50">
        <f>-(AC47-AB47)</f>
        <v>19.301676876591046</v>
      </c>
      <c r="AD70" s="50">
        <f>-(AD47-AC47)</f>
        <v>19.301676876590136</v>
      </c>
      <c r="AE70" s="50">
        <f>-(AE47-AD47)</f>
        <v>19.301676876590136</v>
      </c>
      <c r="AF70" s="50">
        <f>-(AF47-AE47)</f>
        <v>19.301676876591046</v>
      </c>
      <c r="AG70" s="50">
        <f>-(AG47-AF47)</f>
        <v>19.301676876591046</v>
      </c>
      <c r="AH70" s="50">
        <f>-(AH47-AG47)</f>
        <v>19.301676876590136</v>
      </c>
      <c r="AI70" s="50">
        <f>-(AI47-AH47)</f>
        <v>19.301676876590136</v>
      </c>
      <c r="AJ70" s="50">
        <f>-(AJ47-AI47)</f>
        <v>19.301676876591046</v>
      </c>
      <c r="AK70" s="50">
        <f>-(AK47-AJ47)</f>
        <v>19.301676876591046</v>
      </c>
      <c r="AL70" s="50">
        <f>-(AL47-AK47)</f>
        <v>19.301676876590136</v>
      </c>
      <c r="AM70" s="50">
        <f>-(AM47-AL47)</f>
        <v>19.301676876590136</v>
      </c>
      <c r="AN70" s="50">
        <f>-(AN47-AM47)</f>
        <v>19.301676876591046</v>
      </c>
      <c r="AO70" s="50">
        <f>-((AO7*Assumptions!E104)-(AB7*Assumptions!E104))</f>
        <v>231.62012251908709</v>
      </c>
      <c r="AP70" s="50">
        <f>-(AP47-AO47)</f>
        <v>20.170252336037265</v>
      </c>
      <c r="AQ70" s="50">
        <f>-(AQ47-AP47)</f>
        <v>20.170252336037265</v>
      </c>
      <c r="AR70" s="50">
        <f>-(AR47-AQ47)</f>
        <v>20.170252336037265</v>
      </c>
      <c r="AS70" s="50">
        <f>-(AS47-AR47)</f>
        <v>20.170252336037265</v>
      </c>
      <c r="AT70" s="50">
        <f>-(AT47-AS47)</f>
        <v>20.170252336037265</v>
      </c>
      <c r="AU70" s="50">
        <f>-(AU47-AT47)</f>
        <v>20.170252336036356</v>
      </c>
      <c r="AV70" s="50">
        <f>-(AV47-AU47)</f>
        <v>20.170252336037265</v>
      </c>
      <c r="AW70" s="50">
        <f>-(AW47-AV47)</f>
        <v>20.170252336037265</v>
      </c>
      <c r="AX70" s="50">
        <f>-(AX47-AW47)</f>
        <v>20.170252336037265</v>
      </c>
      <c r="AY70" s="50">
        <f>-(AY47-AX47)</f>
        <v>20.170252336037265</v>
      </c>
      <c r="AZ70" s="50">
        <f>-(AZ47-AY47)</f>
        <v>20.170252336037265</v>
      </c>
      <c r="BA70" s="50">
        <f>-(BA47-AZ47)</f>
        <v>20.170252336037265</v>
      </c>
      <c r="BB70" s="50">
        <f>-((BB7*Assumptions!E104)-(AO7*Assumptions!E104))</f>
        <v>242.04302803244627</v>
      </c>
      <c r="BC70" s="50">
        <f>-(BC47-BB47)</f>
        <v>21.077913691158756</v>
      </c>
      <c r="BD70" s="50">
        <f>-(BD47-BC47)</f>
        <v>21.077913691158756</v>
      </c>
      <c r="BE70" s="50">
        <f>-(BE47-BD47)</f>
        <v>21.077913691158756</v>
      </c>
      <c r="BF70" s="50">
        <f>-(BF47-BE47)</f>
        <v>21.077913691158756</v>
      </c>
      <c r="BG70" s="50">
        <f>-(BG47-BF47)</f>
        <v>21.077913691158756</v>
      </c>
      <c r="BH70" s="50">
        <f>-(BH47-BG47)</f>
        <v>21.077913691158756</v>
      </c>
      <c r="BI70" s="50">
        <f>-(BI47-BH47)</f>
        <v>21.077913691159665</v>
      </c>
      <c r="BJ70" s="50">
        <f>-(BJ47-BI47)</f>
        <v>21.077913691158756</v>
      </c>
      <c r="BK70" s="50">
        <f>-(BK47-BJ47)</f>
        <v>21.077913691158756</v>
      </c>
      <c r="BL70" s="50">
        <f>-(BL47-BK47)</f>
        <v>21.077913691158756</v>
      </c>
      <c r="BM70" s="50">
        <f>-(BM47-BL47)</f>
        <v>21.077913691158756</v>
      </c>
      <c r="BN70" s="50">
        <f>-(BN47-BM47)</f>
        <v>21.077913691158756</v>
      </c>
      <c r="BO70" s="50">
        <f>-((BO7*Assumptions!E104)-(BB7*Assumptions!E104))</f>
        <v>252.93496429390598</v>
      </c>
    </row>
    <row r="71" ht="15" customHeight="1">
      <c r="A71" s="60" t="inlineStr">
        <is>
          <t>Net Cash from Operating Activities</t>
        </is>
      </c>
      <c r="B71" s="53" t="n"/>
      <c r="C71" s="52">
        <f>C68+C69+C70</f>
        <v>11029.15565016666</v>
      </c>
      <c r="D71" s="52">
        <f>D68+D69+D70</f>
        <v>11029.15565016666</v>
      </c>
      <c r="E71" s="52">
        <f>E68+E69+E70</f>
        <v>11029.15565016666</v>
      </c>
      <c r="F71" s="52">
        <f>F68+F69+F70</f>
        <v>11029.15565016666</v>
      </c>
      <c r="G71" s="52">
        <f>G68+G69+G70</f>
        <v>11029.15565016666</v>
      </c>
      <c r="H71" s="52">
        <f>H68+H69+H70</f>
        <v>11029.15565016666</v>
      </c>
      <c r="I71" s="52">
        <f>I68+I69+I70</f>
        <v>11029.15565016666</v>
      </c>
      <c r="J71" s="52">
        <f>J68+J69+J70</f>
        <v>11029.15565016666</v>
      </c>
      <c r="K71" s="52">
        <f>K68+K69+K70</f>
        <v>11029.15565016666</v>
      </c>
      <c r="L71" s="52">
        <f>L68+L69+L70</f>
        <v>11029.15565016666</v>
      </c>
      <c r="M71" s="52">
        <f>M68+M69+M70</f>
        <v>11029.15565016666</v>
      </c>
      <c r="N71" s="52">
        <f>N68+N69+N70</f>
        <v>11029.15565016666</v>
      </c>
      <c r="O71" s="52">
        <f>O68+O69+O70</f>
        <v>132349.86780199996</v>
      </c>
      <c r="P71" s="52">
        <f>P68+P69+P70</f>
        <v>6938.6821316051064</v>
      </c>
      <c r="Q71" s="52">
        <f>Q68+Q69+Q70</f>
        <v>6938.6821316051055</v>
      </c>
      <c r="R71" s="52">
        <f>R68+R69+R70</f>
        <v>6938.6821316051064</v>
      </c>
      <c r="S71" s="52">
        <f>S68+S69+S70</f>
        <v>6938.6821316051064</v>
      </c>
      <c r="T71" s="52">
        <f>T68+T69+T70</f>
        <v>6938.6821316051055</v>
      </c>
      <c r="U71" s="52">
        <f>U68+U69+U70</f>
        <v>6938.6821316051064</v>
      </c>
      <c r="V71" s="52">
        <f>V68+V69+V70</f>
        <v>6938.6821316051064</v>
      </c>
      <c r="W71" s="52">
        <f>W68+W69+W70</f>
        <v>6938.6821316051055</v>
      </c>
      <c r="X71" s="52">
        <f>X68+X69+X70</f>
        <v>6938.6821316051064</v>
      </c>
      <c r="Y71" s="52">
        <f>Y68+Y69+Y70</f>
        <v>6938.6821316051064</v>
      </c>
      <c r="Z71" s="52">
        <f>Z68+Z69+Z70</f>
        <v>6938.6821316051055</v>
      </c>
      <c r="AA71" s="52">
        <f>AA68+AA69+AA70</f>
        <v>6938.6821316051064</v>
      </c>
      <c r="AB71" s="52">
        <f>AB68+AB69+AB70</f>
        <v>83264.185579261248</v>
      </c>
      <c r="AC71" s="52">
        <f>AC68+AC69+AC70</f>
        <v>7791.7648719976851</v>
      </c>
      <c r="AD71" s="52">
        <f>AD68+AD69+AD70</f>
        <v>7791.7648719976842</v>
      </c>
      <c r="AE71" s="52">
        <f>AE68+AE69+AE70</f>
        <v>7791.7648719976842</v>
      </c>
      <c r="AF71" s="52">
        <f>AF68+AF69+AF70</f>
        <v>7791.7648719976851</v>
      </c>
      <c r="AG71" s="52">
        <f>AG68+AG69+AG70</f>
        <v>7791.7648719976851</v>
      </c>
      <c r="AH71" s="52">
        <f>AH68+AH69+AH70</f>
        <v>7791.7648719976842</v>
      </c>
      <c r="AI71" s="52">
        <f>AI68+AI69+AI70</f>
        <v>7791.7648719976842</v>
      </c>
      <c r="AJ71" s="52">
        <f>AJ68+AJ69+AJ70</f>
        <v>7791.7648719976851</v>
      </c>
      <c r="AK71" s="52">
        <f>AK68+AK69+AK70</f>
        <v>7791.7648719976851</v>
      </c>
      <c r="AL71" s="52">
        <f>AL68+AL69+AL70</f>
        <v>7791.7648719976842</v>
      </c>
      <c r="AM71" s="52">
        <f>AM68+AM69+AM70</f>
        <v>7791.7648719976842</v>
      </c>
      <c r="AN71" s="52">
        <f>AN68+AN69+AN70</f>
        <v>7791.7648719976851</v>
      </c>
      <c r="AO71" s="52">
        <f>AO68+AO69+AO70</f>
        <v>93501.178463972086</v>
      </c>
      <c r="AP71" s="52">
        <f>AP68+AP69+AP70</f>
        <v>8681.3646868903852</v>
      </c>
      <c r="AQ71" s="52">
        <f>AQ68+AQ69+AQ70</f>
        <v>8681.3646868903852</v>
      </c>
      <c r="AR71" s="52">
        <f>AR68+AR69+AR70</f>
        <v>8681.3646868903852</v>
      </c>
      <c r="AS71" s="52">
        <f>AS68+AS69+AS70</f>
        <v>8681.3646868903852</v>
      </c>
      <c r="AT71" s="52">
        <f>AT68+AT69+AT70</f>
        <v>8681.3646868903852</v>
      </c>
      <c r="AU71" s="52">
        <f>AU68+AU69+AU70</f>
        <v>8681.3646868903852</v>
      </c>
      <c r="AV71" s="52">
        <f>AV68+AV69+AV70</f>
        <v>8681.3646868903852</v>
      </c>
      <c r="AW71" s="52">
        <f>AW68+AW69+AW70</f>
        <v>8681.3646868903852</v>
      </c>
      <c r="AX71" s="52">
        <f>AX68+AX69+AX70</f>
        <v>8681.3646868903852</v>
      </c>
      <c r="AY71" s="52">
        <f>AY68+AY69+AY70</f>
        <v>8681.3646868903852</v>
      </c>
      <c r="AZ71" s="52">
        <f>AZ68+AZ69+AZ70</f>
        <v>8681.3646868903852</v>
      </c>
      <c r="BA71" s="52">
        <f>BA68+BA69+BA70</f>
        <v>8681.3646868903852</v>
      </c>
      <c r="BB71" s="52">
        <f>BB68+BB69+BB70</f>
        <v>104176.37624268456</v>
      </c>
      <c r="BC71" s="52">
        <f>BC68+BC69+BC70</f>
        <v>9608.1538582939975</v>
      </c>
      <c r="BD71" s="52">
        <f>BD68+BD69+BD70</f>
        <v>9608.1538582939975</v>
      </c>
      <c r="BE71" s="52">
        <f>BE68+BE69+BE70</f>
        <v>9608.1538582939975</v>
      </c>
      <c r="BF71" s="52">
        <f>BF68+BF69+BF70</f>
        <v>9608.1538582939975</v>
      </c>
      <c r="BG71" s="52">
        <f>BG68+BG69+BG70</f>
        <v>9608.1538582939975</v>
      </c>
      <c r="BH71" s="52">
        <f>BH68+BH69+BH70</f>
        <v>9608.1538582939975</v>
      </c>
      <c r="BI71" s="52">
        <f>BI68+BI69+BI70</f>
        <v>9608.1538582939975</v>
      </c>
      <c r="BJ71" s="52">
        <f>BJ68+BJ69+BJ70</f>
        <v>9608.1538582939975</v>
      </c>
      <c r="BK71" s="52">
        <f>BK68+BK69+BK70</f>
        <v>9608.1538582939975</v>
      </c>
      <c r="BL71" s="52">
        <f>BL68+BL69+BL70</f>
        <v>9608.1538582939975</v>
      </c>
      <c r="BM71" s="52">
        <f>BM68+BM69+BM70</f>
        <v>9608.1538582939975</v>
      </c>
      <c r="BN71" s="52">
        <f>BN68+BN69+BN70</f>
        <v>9608.1538582939975</v>
      </c>
      <c r="BO71" s="52">
        <f>BO68+BO69+BO70</f>
        <v>115297.846299528</v>
      </c>
    </row>
    <row r="72"/>
    <row r="73" ht="15" customHeight="1">
      <c r="A73" s="44" t="inlineStr">
        <is>
          <t>Investing Activities</t>
        </is>
      </c>
    </row>
    <row r="74" ht="15" customHeight="1">
      <c r="A74" s="49" t="inlineStr">
        <is>
          <t>(Purchase) of Business — Fixed Assets &amp; Goodwill/Intangibles</t>
        </is>
      </c>
      <c r="B74" s="50">
        <f>+Assumptions!E39*-1+1900</f>
        <v>-600299.69999999995</v>
      </c>
      <c r="C74" s="50">
        <f>$O74/12</f>
        <v>0</v>
      </c>
      <c r="D74" s="50">
        <f>$O74/12</f>
        <v>0</v>
      </c>
      <c r="E74" s="50">
        <f>$O74/12</f>
        <v>0</v>
      </c>
      <c r="F74" s="50">
        <f>$O74/12</f>
        <v>0</v>
      </c>
      <c r="G74" s="50">
        <f>$O74/12</f>
        <v>0</v>
      </c>
      <c r="H74" s="50">
        <f>$O74/12</f>
        <v>0</v>
      </c>
      <c r="I74" s="50">
        <f>$O74/12</f>
        <v>0</v>
      </c>
      <c r="J74" s="50">
        <f>$O74/12</f>
        <v>0</v>
      </c>
      <c r="K74" s="50">
        <f>$O74/12</f>
        <v>0</v>
      </c>
      <c r="L74" s="50">
        <f>$O74/12</f>
        <v>0</v>
      </c>
      <c r="M74" s="50">
        <f>$O74/12</f>
        <v>0</v>
      </c>
      <c r="N74" s="50">
        <f>$O74/12</f>
        <v>0</v>
      </c>
      <c r="O74" s="50">
        <f>0</f>
        <v>0</v>
      </c>
      <c r="P74" s="50">
        <f>$AB74/12</f>
        <v>0</v>
      </c>
      <c r="Q74" s="50">
        <f>$AB74/12</f>
        <v>0</v>
      </c>
      <c r="R74" s="50">
        <f>$AB74/12</f>
        <v>0</v>
      </c>
      <c r="S74" s="50">
        <f>$AB74/12</f>
        <v>0</v>
      </c>
      <c r="T74" s="50">
        <f>$AB74/12</f>
        <v>0</v>
      </c>
      <c r="U74" s="50">
        <f>$AB74/12</f>
        <v>0</v>
      </c>
      <c r="V74" s="50">
        <f>$AB74/12</f>
        <v>0</v>
      </c>
      <c r="W74" s="50">
        <f>$AB74/12</f>
        <v>0</v>
      </c>
      <c r="X74" s="50">
        <f>$AB74/12</f>
        <v>0</v>
      </c>
      <c r="Y74" s="50">
        <f>$AB74/12</f>
        <v>0</v>
      </c>
      <c r="Z74" s="50">
        <f>$AB74/12</f>
        <v>0</v>
      </c>
      <c r="AA74" s="50">
        <f>$AB74/12</f>
        <v>0</v>
      </c>
      <c r="AB74" s="50">
        <f>0</f>
        <v>0</v>
      </c>
      <c r="AC74" s="50">
        <f>$AO74/12</f>
        <v>0</v>
      </c>
      <c r="AD74" s="50">
        <f>$AO74/12</f>
        <v>0</v>
      </c>
      <c r="AE74" s="50">
        <f>$AO74/12</f>
        <v>0</v>
      </c>
      <c r="AF74" s="50">
        <f>$AO74/12</f>
        <v>0</v>
      </c>
      <c r="AG74" s="50">
        <f>$AO74/12</f>
        <v>0</v>
      </c>
      <c r="AH74" s="50">
        <f>$AO74/12</f>
        <v>0</v>
      </c>
      <c r="AI74" s="50">
        <f>$AO74/12</f>
        <v>0</v>
      </c>
      <c r="AJ74" s="50">
        <f>$AO74/12</f>
        <v>0</v>
      </c>
      <c r="AK74" s="50">
        <f>$AO74/12</f>
        <v>0</v>
      </c>
      <c r="AL74" s="50">
        <f>$AO74/12</f>
        <v>0</v>
      </c>
      <c r="AM74" s="50">
        <f>$AO74/12</f>
        <v>0</v>
      </c>
      <c r="AN74" s="50">
        <f>$AO74/12</f>
        <v>0</v>
      </c>
      <c r="AO74" s="50">
        <f>0</f>
        <v>0</v>
      </c>
      <c r="AP74" s="50">
        <f>$BB74/12</f>
        <v>0</v>
      </c>
      <c r="AQ74" s="50">
        <f>$BB74/12</f>
        <v>0</v>
      </c>
      <c r="AR74" s="50">
        <f>$BB74/12</f>
        <v>0</v>
      </c>
      <c r="AS74" s="50">
        <f>$BB74/12</f>
        <v>0</v>
      </c>
      <c r="AT74" s="50">
        <f>$BB74/12</f>
        <v>0</v>
      </c>
      <c r="AU74" s="50">
        <f>$BB74/12</f>
        <v>0</v>
      </c>
      <c r="AV74" s="50">
        <f>$BB74/12</f>
        <v>0</v>
      </c>
      <c r="AW74" s="50">
        <f>$BB74/12</f>
        <v>0</v>
      </c>
      <c r="AX74" s="50">
        <f>$BB74/12</f>
        <v>0</v>
      </c>
      <c r="AY74" s="50">
        <f>$BB74/12</f>
        <v>0</v>
      </c>
      <c r="AZ74" s="50">
        <f>$BB74/12</f>
        <v>0</v>
      </c>
      <c r="BA74" s="50">
        <f>$BB74/12</f>
        <v>0</v>
      </c>
      <c r="BB74" s="50">
        <f>0</f>
        <v>0</v>
      </c>
      <c r="BC74" s="50">
        <f>$BO74/12</f>
        <v>0</v>
      </c>
      <c r="BD74" s="50">
        <f>$BO74/12</f>
        <v>0</v>
      </c>
      <c r="BE74" s="50">
        <f>$BO74/12</f>
        <v>0</v>
      </c>
      <c r="BF74" s="50">
        <f>$BO74/12</f>
        <v>0</v>
      </c>
      <c r="BG74" s="50">
        <f>$BO74/12</f>
        <v>0</v>
      </c>
      <c r="BH74" s="50">
        <f>$BO74/12</f>
        <v>0</v>
      </c>
      <c r="BI74" s="50">
        <f>$BO74/12</f>
        <v>0</v>
      </c>
      <c r="BJ74" s="50">
        <f>$BO74/12</f>
        <v>0</v>
      </c>
      <c r="BK74" s="50">
        <f>$BO74/12</f>
        <v>0</v>
      </c>
      <c r="BL74" s="50">
        <f>$BO74/12</f>
        <v>0</v>
      </c>
      <c r="BM74" s="50">
        <f>$BO74/12</f>
        <v>0</v>
      </c>
      <c r="BN74" s="50">
        <f>$BO74/12</f>
        <v>0</v>
      </c>
      <c r="BO74" s="50">
        <f>0</f>
        <v>0</v>
      </c>
    </row>
    <row r="75" ht="15" customHeight="1">
      <c r="A75" s="60" t="inlineStr">
        <is>
          <t>Net Cash used in Investing Activities</t>
        </is>
      </c>
      <c r="B75" s="52">
        <f>B74</f>
        <v>-600299.69999999995</v>
      </c>
      <c r="C75" s="52">
        <f>C74</f>
        <v>0</v>
      </c>
      <c r="D75" s="52">
        <f>D74</f>
        <v>0</v>
      </c>
      <c r="E75" s="52">
        <f>E74</f>
        <v>0</v>
      </c>
      <c r="F75" s="52">
        <f>F74</f>
        <v>0</v>
      </c>
      <c r="G75" s="52">
        <f>G74</f>
        <v>0</v>
      </c>
      <c r="H75" s="52">
        <f>H74</f>
        <v>0</v>
      </c>
      <c r="I75" s="52">
        <f>I74</f>
        <v>0</v>
      </c>
      <c r="J75" s="52">
        <f>J74</f>
        <v>0</v>
      </c>
      <c r="K75" s="52">
        <f>K74</f>
        <v>0</v>
      </c>
      <c r="L75" s="52">
        <f>L74</f>
        <v>0</v>
      </c>
      <c r="M75" s="52">
        <f>M74</f>
        <v>0</v>
      </c>
      <c r="N75" s="52">
        <f>N74</f>
        <v>0</v>
      </c>
      <c r="O75" s="52">
        <f>O74</f>
        <v>0</v>
      </c>
      <c r="P75" s="52">
        <f>P74</f>
        <v>0</v>
      </c>
      <c r="Q75" s="52">
        <f>Q74</f>
        <v>0</v>
      </c>
      <c r="R75" s="52">
        <f>R74</f>
        <v>0</v>
      </c>
      <c r="S75" s="52">
        <f>S74</f>
        <v>0</v>
      </c>
      <c r="T75" s="52">
        <f>T74</f>
        <v>0</v>
      </c>
      <c r="U75" s="52">
        <f>U74</f>
        <v>0</v>
      </c>
      <c r="V75" s="52">
        <f>V74</f>
        <v>0</v>
      </c>
      <c r="W75" s="52">
        <f>W74</f>
        <v>0</v>
      </c>
      <c r="X75" s="52">
        <f>X74</f>
        <v>0</v>
      </c>
      <c r="Y75" s="52">
        <f>Y74</f>
        <v>0</v>
      </c>
      <c r="Z75" s="52">
        <f>Z74</f>
        <v>0</v>
      </c>
      <c r="AA75" s="52">
        <f>AA74</f>
        <v>0</v>
      </c>
      <c r="AB75" s="52">
        <f>AB74</f>
        <v>0</v>
      </c>
      <c r="AC75" s="52">
        <f>AC74</f>
        <v>0</v>
      </c>
      <c r="AD75" s="52">
        <f>AD74</f>
        <v>0</v>
      </c>
      <c r="AE75" s="52">
        <f>AE74</f>
        <v>0</v>
      </c>
      <c r="AF75" s="52">
        <f>AF74</f>
        <v>0</v>
      </c>
      <c r="AG75" s="52">
        <f>AG74</f>
        <v>0</v>
      </c>
      <c r="AH75" s="52">
        <f>AH74</f>
        <v>0</v>
      </c>
      <c r="AI75" s="52">
        <f>AI74</f>
        <v>0</v>
      </c>
      <c r="AJ75" s="52">
        <f>AJ74</f>
        <v>0</v>
      </c>
      <c r="AK75" s="52">
        <f>AK74</f>
        <v>0</v>
      </c>
      <c r="AL75" s="52">
        <f>AL74</f>
        <v>0</v>
      </c>
      <c r="AM75" s="52">
        <f>AM74</f>
        <v>0</v>
      </c>
      <c r="AN75" s="52">
        <f>AN74</f>
        <v>0</v>
      </c>
      <c r="AO75" s="52">
        <f>AO74</f>
        <v>0</v>
      </c>
      <c r="AP75" s="52">
        <f>AP74</f>
        <v>0</v>
      </c>
      <c r="AQ75" s="52">
        <f>AQ74</f>
        <v>0</v>
      </c>
      <c r="AR75" s="52">
        <f>AR74</f>
        <v>0</v>
      </c>
      <c r="AS75" s="52">
        <f>AS74</f>
        <v>0</v>
      </c>
      <c r="AT75" s="52">
        <f>AT74</f>
        <v>0</v>
      </c>
      <c r="AU75" s="52">
        <f>AU74</f>
        <v>0</v>
      </c>
      <c r="AV75" s="52">
        <f>AV74</f>
        <v>0</v>
      </c>
      <c r="AW75" s="52">
        <f>AW74</f>
        <v>0</v>
      </c>
      <c r="AX75" s="52">
        <f>AX74</f>
        <v>0</v>
      </c>
      <c r="AY75" s="52">
        <f>AY74</f>
        <v>0</v>
      </c>
      <c r="AZ75" s="52">
        <f>AZ74</f>
        <v>0</v>
      </c>
      <c r="BA75" s="52">
        <f>BA74</f>
        <v>0</v>
      </c>
      <c r="BB75" s="52">
        <f>BB74</f>
        <v>0</v>
      </c>
      <c r="BC75" s="52">
        <f>BC74</f>
        <v>0</v>
      </c>
      <c r="BD75" s="52">
        <f>BD74</f>
        <v>0</v>
      </c>
      <c r="BE75" s="52">
        <f>BE74</f>
        <v>0</v>
      </c>
      <c r="BF75" s="52">
        <f>BF74</f>
        <v>0</v>
      </c>
      <c r="BG75" s="52">
        <f>BG74</f>
        <v>0</v>
      </c>
      <c r="BH75" s="52">
        <f>BH74</f>
        <v>0</v>
      </c>
      <c r="BI75" s="52">
        <f>BI74</f>
        <v>0</v>
      </c>
      <c r="BJ75" s="52">
        <f>BJ74</f>
        <v>0</v>
      </c>
      <c r="BK75" s="52">
        <f>BK74</f>
        <v>0</v>
      </c>
      <c r="BL75" s="52">
        <f>BL74</f>
        <v>0</v>
      </c>
      <c r="BM75" s="52">
        <f>BM74</f>
        <v>0</v>
      </c>
      <c r="BN75" s="52">
        <f>BN74</f>
        <v>0</v>
      </c>
      <c r="BO75" s="52">
        <f>BO74</f>
        <v>0</v>
      </c>
    </row>
    <row r="76"/>
    <row r="77" ht="15" customHeight="1">
      <c r="A77" s="44" t="inlineStr">
        <is>
          <t>Financing Activities</t>
        </is>
      </c>
    </row>
    <row r="78" ht="15" customHeight="1">
      <c r="A78" s="49" t="inlineStr">
        <is>
          <t>Buyer Equity Contribution</t>
        </is>
      </c>
      <c r="B78" s="50">
        <f>+Assumptions!E41</f>
        <v>60300</v>
      </c>
      <c r="C78" s="50">
        <f>$O78/12</f>
        <v>0</v>
      </c>
      <c r="D78" s="50">
        <f>$O78/12</f>
        <v>0</v>
      </c>
      <c r="E78" s="50">
        <f>$O78/12</f>
        <v>0</v>
      </c>
      <c r="F78" s="50">
        <f>$O78/12</f>
        <v>0</v>
      </c>
      <c r="G78" s="50">
        <f>$O78/12</f>
        <v>0</v>
      </c>
      <c r="H78" s="50">
        <f>$O78/12</f>
        <v>0</v>
      </c>
      <c r="I78" s="50">
        <f>$O78/12</f>
        <v>0</v>
      </c>
      <c r="J78" s="50">
        <f>$O78/12</f>
        <v>0</v>
      </c>
      <c r="K78" s="50">
        <f>$O78/12</f>
        <v>0</v>
      </c>
      <c r="L78" s="50">
        <f>$O78/12</f>
        <v>0</v>
      </c>
      <c r="M78" s="50">
        <f>$O78/12</f>
        <v>0</v>
      </c>
      <c r="N78" s="50">
        <f>$O78/12</f>
        <v>0</v>
      </c>
      <c r="O78" s="50">
        <f>0</f>
        <v>0</v>
      </c>
      <c r="P78" s="50">
        <f>$AB78/12</f>
        <v>0</v>
      </c>
      <c r="Q78" s="50">
        <f>$AB78/12</f>
        <v>0</v>
      </c>
      <c r="R78" s="50">
        <f>$AB78/12</f>
        <v>0</v>
      </c>
      <c r="S78" s="50">
        <f>$AB78/12</f>
        <v>0</v>
      </c>
      <c r="T78" s="50">
        <f>$AB78/12</f>
        <v>0</v>
      </c>
      <c r="U78" s="50">
        <f>$AB78/12</f>
        <v>0</v>
      </c>
      <c r="V78" s="50">
        <f>$AB78/12</f>
        <v>0</v>
      </c>
      <c r="W78" s="50">
        <f>$AB78/12</f>
        <v>0</v>
      </c>
      <c r="X78" s="50">
        <f>$AB78/12</f>
        <v>0</v>
      </c>
      <c r="Y78" s="50">
        <f>$AB78/12</f>
        <v>0</v>
      </c>
      <c r="Z78" s="50">
        <f>$AB78/12</f>
        <v>0</v>
      </c>
      <c r="AA78" s="50">
        <f>$AB78/12</f>
        <v>0</v>
      </c>
      <c r="AB78" s="50">
        <f>0</f>
        <v>0</v>
      </c>
      <c r="AC78" s="50">
        <f>$AO78/12</f>
        <v>0</v>
      </c>
      <c r="AD78" s="50">
        <f>$AO78/12</f>
        <v>0</v>
      </c>
      <c r="AE78" s="50">
        <f>$AO78/12</f>
        <v>0</v>
      </c>
      <c r="AF78" s="50">
        <f>$AO78/12</f>
        <v>0</v>
      </c>
      <c r="AG78" s="50">
        <f>$AO78/12</f>
        <v>0</v>
      </c>
      <c r="AH78" s="50">
        <f>$AO78/12</f>
        <v>0</v>
      </c>
      <c r="AI78" s="50">
        <f>$AO78/12</f>
        <v>0</v>
      </c>
      <c r="AJ78" s="50">
        <f>$AO78/12</f>
        <v>0</v>
      </c>
      <c r="AK78" s="50">
        <f>$AO78/12</f>
        <v>0</v>
      </c>
      <c r="AL78" s="50">
        <f>$AO78/12</f>
        <v>0</v>
      </c>
      <c r="AM78" s="50">
        <f>$AO78/12</f>
        <v>0</v>
      </c>
      <c r="AN78" s="50">
        <f>$AO78/12</f>
        <v>0</v>
      </c>
      <c r="AO78" s="50">
        <f>0</f>
        <v>0</v>
      </c>
      <c r="AP78" s="50">
        <f>$BB78/12</f>
        <v>0</v>
      </c>
      <c r="AQ78" s="50">
        <f>$BB78/12</f>
        <v>0</v>
      </c>
      <c r="AR78" s="50">
        <f>$BB78/12</f>
        <v>0</v>
      </c>
      <c r="AS78" s="50">
        <f>$BB78/12</f>
        <v>0</v>
      </c>
      <c r="AT78" s="50">
        <f>$BB78/12</f>
        <v>0</v>
      </c>
      <c r="AU78" s="50">
        <f>$BB78/12</f>
        <v>0</v>
      </c>
      <c r="AV78" s="50">
        <f>$BB78/12</f>
        <v>0</v>
      </c>
      <c r="AW78" s="50">
        <f>$BB78/12</f>
        <v>0</v>
      </c>
      <c r="AX78" s="50">
        <f>$BB78/12</f>
        <v>0</v>
      </c>
      <c r="AY78" s="50">
        <f>$BB78/12</f>
        <v>0</v>
      </c>
      <c r="AZ78" s="50">
        <f>$BB78/12</f>
        <v>0</v>
      </c>
      <c r="BA78" s="50">
        <f>$BB78/12</f>
        <v>0</v>
      </c>
      <c r="BB78" s="50">
        <f>0</f>
        <v>0</v>
      </c>
      <c r="BC78" s="50">
        <f>$BO78/12</f>
        <v>0</v>
      </c>
      <c r="BD78" s="50">
        <f>$BO78/12</f>
        <v>0</v>
      </c>
      <c r="BE78" s="50">
        <f>$BO78/12</f>
        <v>0</v>
      </c>
      <c r="BF78" s="50">
        <f>$BO78/12</f>
        <v>0</v>
      </c>
      <c r="BG78" s="50">
        <f>$BO78/12</f>
        <v>0</v>
      </c>
      <c r="BH78" s="50">
        <f>$BO78/12</f>
        <v>0</v>
      </c>
      <c r="BI78" s="50">
        <f>$BO78/12</f>
        <v>0</v>
      </c>
      <c r="BJ78" s="50">
        <f>$BO78/12</f>
        <v>0</v>
      </c>
      <c r="BK78" s="50">
        <f>$BO78/12</f>
        <v>0</v>
      </c>
      <c r="BL78" s="50">
        <f>$BO78/12</f>
        <v>0</v>
      </c>
      <c r="BM78" s="50">
        <f>$BO78/12</f>
        <v>0</v>
      </c>
      <c r="BN78" s="50">
        <f>$BO78/12</f>
        <v>0</v>
      </c>
      <c r="BO78" s="50">
        <f>0</f>
        <v>0</v>
      </c>
    </row>
    <row r="79" ht="15" customHeight="1">
      <c r="A79" s="49" t="inlineStr">
        <is>
          <t>Senior SBA Loan Proceeds</t>
        </is>
      </c>
      <c r="B79" s="50">
        <f>Assumptions!E32</f>
        <v>569999.69999999995</v>
      </c>
      <c r="C79" s="50">
        <f>$O79/12</f>
        <v>0</v>
      </c>
      <c r="D79" s="50">
        <f>$O79/12</f>
        <v>0</v>
      </c>
      <c r="E79" s="50">
        <f>$O79/12</f>
        <v>0</v>
      </c>
      <c r="F79" s="50">
        <f>$O79/12</f>
        <v>0</v>
      </c>
      <c r="G79" s="50">
        <f>$O79/12</f>
        <v>0</v>
      </c>
      <c r="H79" s="50">
        <f>$O79/12</f>
        <v>0</v>
      </c>
      <c r="I79" s="50">
        <f>$O79/12</f>
        <v>0</v>
      </c>
      <c r="J79" s="50">
        <f>$O79/12</f>
        <v>0</v>
      </c>
      <c r="K79" s="50">
        <f>$O79/12</f>
        <v>0</v>
      </c>
      <c r="L79" s="50">
        <f>$O79/12</f>
        <v>0</v>
      </c>
      <c r="M79" s="50">
        <f>$O79/12</f>
        <v>0</v>
      </c>
      <c r="N79" s="50">
        <f>$O79/12</f>
        <v>0</v>
      </c>
      <c r="O79" s="50">
        <f>0</f>
        <v>0</v>
      </c>
      <c r="P79" s="50">
        <f>$AB79/12</f>
        <v>0</v>
      </c>
      <c r="Q79" s="50">
        <f>$AB79/12</f>
        <v>0</v>
      </c>
      <c r="R79" s="50">
        <f>$AB79/12</f>
        <v>0</v>
      </c>
      <c r="S79" s="50">
        <f>$AB79/12</f>
        <v>0</v>
      </c>
      <c r="T79" s="50">
        <f>$AB79/12</f>
        <v>0</v>
      </c>
      <c r="U79" s="50">
        <f>$AB79/12</f>
        <v>0</v>
      </c>
      <c r="V79" s="50">
        <f>$AB79/12</f>
        <v>0</v>
      </c>
      <c r="W79" s="50">
        <f>$AB79/12</f>
        <v>0</v>
      </c>
      <c r="X79" s="50">
        <f>$AB79/12</f>
        <v>0</v>
      </c>
      <c r="Y79" s="50">
        <f>$AB79/12</f>
        <v>0</v>
      </c>
      <c r="Z79" s="50">
        <f>$AB79/12</f>
        <v>0</v>
      </c>
      <c r="AA79" s="50">
        <f>$AB79/12</f>
        <v>0</v>
      </c>
      <c r="AB79" s="50">
        <f>0</f>
        <v>0</v>
      </c>
      <c r="AC79" s="50">
        <f>$AO79/12</f>
        <v>0</v>
      </c>
      <c r="AD79" s="50">
        <f>$AO79/12</f>
        <v>0</v>
      </c>
      <c r="AE79" s="50">
        <f>$AO79/12</f>
        <v>0</v>
      </c>
      <c r="AF79" s="50">
        <f>$AO79/12</f>
        <v>0</v>
      </c>
      <c r="AG79" s="50">
        <f>$AO79/12</f>
        <v>0</v>
      </c>
      <c r="AH79" s="50">
        <f>$AO79/12</f>
        <v>0</v>
      </c>
      <c r="AI79" s="50">
        <f>$AO79/12</f>
        <v>0</v>
      </c>
      <c r="AJ79" s="50">
        <f>$AO79/12</f>
        <v>0</v>
      </c>
      <c r="AK79" s="50">
        <f>$AO79/12</f>
        <v>0</v>
      </c>
      <c r="AL79" s="50">
        <f>$AO79/12</f>
        <v>0</v>
      </c>
      <c r="AM79" s="50">
        <f>$AO79/12</f>
        <v>0</v>
      </c>
      <c r="AN79" s="50">
        <f>$AO79/12</f>
        <v>0</v>
      </c>
      <c r="AO79" s="50">
        <f>0</f>
        <v>0</v>
      </c>
      <c r="AP79" s="50">
        <f>$BB79/12</f>
        <v>0</v>
      </c>
      <c r="AQ79" s="50">
        <f>$BB79/12</f>
        <v>0</v>
      </c>
      <c r="AR79" s="50">
        <f>$BB79/12</f>
        <v>0</v>
      </c>
      <c r="AS79" s="50">
        <f>$BB79/12</f>
        <v>0</v>
      </c>
      <c r="AT79" s="50">
        <f>$BB79/12</f>
        <v>0</v>
      </c>
      <c r="AU79" s="50">
        <f>$BB79/12</f>
        <v>0</v>
      </c>
      <c r="AV79" s="50">
        <f>$BB79/12</f>
        <v>0</v>
      </c>
      <c r="AW79" s="50">
        <f>$BB79/12</f>
        <v>0</v>
      </c>
      <c r="AX79" s="50">
        <f>$BB79/12</f>
        <v>0</v>
      </c>
      <c r="AY79" s="50">
        <f>$BB79/12</f>
        <v>0</v>
      </c>
      <c r="AZ79" s="50">
        <f>$BB79/12</f>
        <v>0</v>
      </c>
      <c r="BA79" s="50">
        <f>$BB79/12</f>
        <v>0</v>
      </c>
      <c r="BB79" s="50">
        <f>0</f>
        <v>0</v>
      </c>
      <c r="BC79" s="50">
        <f>$BO79/12</f>
        <v>0</v>
      </c>
      <c r="BD79" s="50">
        <f>$BO79/12</f>
        <v>0</v>
      </c>
      <c r="BE79" s="50">
        <f>$BO79/12</f>
        <v>0</v>
      </c>
      <c r="BF79" s="50">
        <f>$BO79/12</f>
        <v>0</v>
      </c>
      <c r="BG79" s="50">
        <f>$BO79/12</f>
        <v>0</v>
      </c>
      <c r="BH79" s="50">
        <f>$BO79/12</f>
        <v>0</v>
      </c>
      <c r="BI79" s="50">
        <f>$BO79/12</f>
        <v>0</v>
      </c>
      <c r="BJ79" s="50">
        <f>$BO79/12</f>
        <v>0</v>
      </c>
      <c r="BK79" s="50">
        <f>$BO79/12</f>
        <v>0</v>
      </c>
      <c r="BL79" s="50">
        <f>$BO79/12</f>
        <v>0</v>
      </c>
      <c r="BM79" s="50">
        <f>$BO79/12</f>
        <v>0</v>
      </c>
      <c r="BN79" s="50">
        <f>$BO79/12</f>
        <v>0</v>
      </c>
      <c r="BO79" s="50">
        <f>0</f>
        <v>0</v>
      </c>
    </row>
    <row r="80" ht="15" customHeight="1">
      <c r="A80" s="49" t="inlineStr">
        <is>
          <t>Seller Note Proceeds</t>
        </is>
      </c>
      <c r="B80" s="50">
        <f>Assumptions!E17</f>
        <v>0</v>
      </c>
      <c r="C80" s="50">
        <f>$O80/12</f>
        <v>0</v>
      </c>
      <c r="D80" s="50">
        <f>$O80/12</f>
        <v>0</v>
      </c>
      <c r="E80" s="50">
        <f>$O80/12</f>
        <v>0</v>
      </c>
      <c r="F80" s="50">
        <f>$O80/12</f>
        <v>0</v>
      </c>
      <c r="G80" s="50">
        <f>$O80/12</f>
        <v>0</v>
      </c>
      <c r="H80" s="50">
        <f>$O80/12</f>
        <v>0</v>
      </c>
      <c r="I80" s="50">
        <f>$O80/12</f>
        <v>0</v>
      </c>
      <c r="J80" s="50">
        <f>$O80/12</f>
        <v>0</v>
      </c>
      <c r="K80" s="50">
        <f>$O80/12</f>
        <v>0</v>
      </c>
      <c r="L80" s="50">
        <f>$O80/12</f>
        <v>0</v>
      </c>
      <c r="M80" s="50">
        <f>$O80/12</f>
        <v>0</v>
      </c>
      <c r="N80" s="50">
        <f>$O80/12</f>
        <v>0</v>
      </c>
      <c r="O80" s="50">
        <f>0</f>
        <v>0</v>
      </c>
      <c r="P80" s="50">
        <f>$AB80/12</f>
        <v>0</v>
      </c>
      <c r="Q80" s="50">
        <f>$AB80/12</f>
        <v>0</v>
      </c>
      <c r="R80" s="50">
        <f>$AB80/12</f>
        <v>0</v>
      </c>
      <c r="S80" s="50">
        <f>$AB80/12</f>
        <v>0</v>
      </c>
      <c r="T80" s="50">
        <f>$AB80/12</f>
        <v>0</v>
      </c>
      <c r="U80" s="50">
        <f>$AB80/12</f>
        <v>0</v>
      </c>
      <c r="V80" s="50">
        <f>$AB80/12</f>
        <v>0</v>
      </c>
      <c r="W80" s="50">
        <f>$AB80/12</f>
        <v>0</v>
      </c>
      <c r="X80" s="50">
        <f>$AB80/12</f>
        <v>0</v>
      </c>
      <c r="Y80" s="50">
        <f>$AB80/12</f>
        <v>0</v>
      </c>
      <c r="Z80" s="50">
        <f>$AB80/12</f>
        <v>0</v>
      </c>
      <c r="AA80" s="50">
        <f>$AB80/12</f>
        <v>0</v>
      </c>
      <c r="AB80" s="50">
        <f>0</f>
        <v>0</v>
      </c>
      <c r="AC80" s="50">
        <f>$AO80/12</f>
        <v>0</v>
      </c>
      <c r="AD80" s="50">
        <f>$AO80/12</f>
        <v>0</v>
      </c>
      <c r="AE80" s="50">
        <f>$AO80/12</f>
        <v>0</v>
      </c>
      <c r="AF80" s="50">
        <f>$AO80/12</f>
        <v>0</v>
      </c>
      <c r="AG80" s="50">
        <f>$AO80/12</f>
        <v>0</v>
      </c>
      <c r="AH80" s="50">
        <f>$AO80/12</f>
        <v>0</v>
      </c>
      <c r="AI80" s="50">
        <f>$AO80/12</f>
        <v>0</v>
      </c>
      <c r="AJ80" s="50">
        <f>$AO80/12</f>
        <v>0</v>
      </c>
      <c r="AK80" s="50">
        <f>$AO80/12</f>
        <v>0</v>
      </c>
      <c r="AL80" s="50">
        <f>$AO80/12</f>
        <v>0</v>
      </c>
      <c r="AM80" s="50">
        <f>$AO80/12</f>
        <v>0</v>
      </c>
      <c r="AN80" s="50">
        <f>$AO80/12</f>
        <v>0</v>
      </c>
      <c r="AO80" s="50">
        <f>0</f>
        <v>0</v>
      </c>
      <c r="AP80" s="50">
        <f>$BB80/12</f>
        <v>0</v>
      </c>
      <c r="AQ80" s="50">
        <f>$BB80/12</f>
        <v>0</v>
      </c>
      <c r="AR80" s="50">
        <f>$BB80/12</f>
        <v>0</v>
      </c>
      <c r="AS80" s="50">
        <f>$BB80/12</f>
        <v>0</v>
      </c>
      <c r="AT80" s="50">
        <f>$BB80/12</f>
        <v>0</v>
      </c>
      <c r="AU80" s="50">
        <f>$BB80/12</f>
        <v>0</v>
      </c>
      <c r="AV80" s="50">
        <f>$BB80/12</f>
        <v>0</v>
      </c>
      <c r="AW80" s="50">
        <f>$BB80/12</f>
        <v>0</v>
      </c>
      <c r="AX80" s="50">
        <f>$BB80/12</f>
        <v>0</v>
      </c>
      <c r="AY80" s="50">
        <f>$BB80/12</f>
        <v>0</v>
      </c>
      <c r="AZ80" s="50">
        <f>$BB80/12</f>
        <v>0</v>
      </c>
      <c r="BA80" s="50">
        <f>$BB80/12</f>
        <v>0</v>
      </c>
      <c r="BB80" s="50">
        <f>0</f>
        <v>0</v>
      </c>
      <c r="BC80" s="50">
        <f>$BO80/12</f>
        <v>0</v>
      </c>
      <c r="BD80" s="50">
        <f>$BO80/12</f>
        <v>0</v>
      </c>
      <c r="BE80" s="50">
        <f>$BO80/12</f>
        <v>0</v>
      </c>
      <c r="BF80" s="50">
        <f>$BO80/12</f>
        <v>0</v>
      </c>
      <c r="BG80" s="50">
        <f>$BO80/12</f>
        <v>0</v>
      </c>
      <c r="BH80" s="50">
        <f>$BO80/12</f>
        <v>0</v>
      </c>
      <c r="BI80" s="50">
        <f>$BO80/12</f>
        <v>0</v>
      </c>
      <c r="BJ80" s="50">
        <f>$BO80/12</f>
        <v>0</v>
      </c>
      <c r="BK80" s="50">
        <f>$BO80/12</f>
        <v>0</v>
      </c>
      <c r="BL80" s="50">
        <f>$BO80/12</f>
        <v>0</v>
      </c>
      <c r="BM80" s="50">
        <f>$BO80/12</f>
        <v>0</v>
      </c>
      <c r="BN80" s="50">
        <f>$BO80/12</f>
        <v>0</v>
      </c>
      <c r="BO80" s="50">
        <f>0</f>
        <v>0</v>
      </c>
    </row>
    <row r="81" ht="15" customHeight="1">
      <c r="A81" s="78" t="inlineStr">
        <is>
          <t>Memo: Working Capital Included Within Uses Above (Non-Additive)</t>
        </is>
      </c>
      <c r="B81" s="79">
        <f>Assumptions!E12</f>
        <v>29999.700000000001</v>
      </c>
      <c r="C81" s="50">
        <f>$O81/12</f>
        <v>0</v>
      </c>
      <c r="D81" s="50">
        <f>$O81/12</f>
        <v>0</v>
      </c>
      <c r="E81" s="50">
        <f>$O81/12</f>
        <v>0</v>
      </c>
      <c r="F81" s="50">
        <f>$O81/12</f>
        <v>0</v>
      </c>
      <c r="G81" s="50">
        <f>$O81/12</f>
        <v>0</v>
      </c>
      <c r="H81" s="50">
        <f>$O81/12</f>
        <v>0</v>
      </c>
      <c r="I81" s="50">
        <f>$O81/12</f>
        <v>0</v>
      </c>
      <c r="J81" s="50">
        <f>$O81/12</f>
        <v>0</v>
      </c>
      <c r="K81" s="50">
        <f>$O81/12</f>
        <v>0</v>
      </c>
      <c r="L81" s="50">
        <f>$O81/12</f>
        <v>0</v>
      </c>
      <c r="M81" s="50">
        <f>$O81/12</f>
        <v>0</v>
      </c>
      <c r="N81" s="50">
        <f>$O81/12</f>
        <v>0</v>
      </c>
      <c r="O81" s="50">
        <f>0</f>
        <v>0</v>
      </c>
      <c r="P81" s="50">
        <f>$AB81/12</f>
        <v>0</v>
      </c>
      <c r="Q81" s="50">
        <f>$AB81/12</f>
        <v>0</v>
      </c>
      <c r="R81" s="50">
        <f>$AB81/12</f>
        <v>0</v>
      </c>
      <c r="S81" s="50">
        <f>$AB81/12</f>
        <v>0</v>
      </c>
      <c r="T81" s="50">
        <f>$AB81/12</f>
        <v>0</v>
      </c>
      <c r="U81" s="50">
        <f>$AB81/12</f>
        <v>0</v>
      </c>
      <c r="V81" s="50">
        <f>$AB81/12</f>
        <v>0</v>
      </c>
      <c r="W81" s="50">
        <f>$AB81/12</f>
        <v>0</v>
      </c>
      <c r="X81" s="50">
        <f>$AB81/12</f>
        <v>0</v>
      </c>
      <c r="Y81" s="50">
        <f>$AB81/12</f>
        <v>0</v>
      </c>
      <c r="Z81" s="50">
        <f>$AB81/12</f>
        <v>0</v>
      </c>
      <c r="AA81" s="50">
        <f>$AB81/12</f>
        <v>0</v>
      </c>
      <c r="AB81" s="50">
        <f>0</f>
        <v>0</v>
      </c>
      <c r="AC81" s="50">
        <f>$AO81/12</f>
        <v>0</v>
      </c>
      <c r="AD81" s="50">
        <f>$AO81/12</f>
        <v>0</v>
      </c>
      <c r="AE81" s="50">
        <f>$AO81/12</f>
        <v>0</v>
      </c>
      <c r="AF81" s="50">
        <f>$AO81/12</f>
        <v>0</v>
      </c>
      <c r="AG81" s="50">
        <f>$AO81/12</f>
        <v>0</v>
      </c>
      <c r="AH81" s="50">
        <f>$AO81/12</f>
        <v>0</v>
      </c>
      <c r="AI81" s="50">
        <f>$AO81/12</f>
        <v>0</v>
      </c>
      <c r="AJ81" s="50">
        <f>$AO81/12</f>
        <v>0</v>
      </c>
      <c r="AK81" s="50">
        <f>$AO81/12</f>
        <v>0</v>
      </c>
      <c r="AL81" s="50">
        <f>$AO81/12</f>
        <v>0</v>
      </c>
      <c r="AM81" s="50">
        <f>$AO81/12</f>
        <v>0</v>
      </c>
      <c r="AN81" s="50">
        <f>$AO81/12</f>
        <v>0</v>
      </c>
      <c r="AO81" s="50">
        <f>0</f>
        <v>0</v>
      </c>
      <c r="AP81" s="50">
        <f>$BB81/12</f>
        <v>0</v>
      </c>
      <c r="AQ81" s="50">
        <f>$BB81/12</f>
        <v>0</v>
      </c>
      <c r="AR81" s="50">
        <f>$BB81/12</f>
        <v>0</v>
      </c>
      <c r="AS81" s="50">
        <f>$BB81/12</f>
        <v>0</v>
      </c>
      <c r="AT81" s="50">
        <f>$BB81/12</f>
        <v>0</v>
      </c>
      <c r="AU81" s="50">
        <f>$BB81/12</f>
        <v>0</v>
      </c>
      <c r="AV81" s="50">
        <f>$BB81/12</f>
        <v>0</v>
      </c>
      <c r="AW81" s="50">
        <f>$BB81/12</f>
        <v>0</v>
      </c>
      <c r="AX81" s="50">
        <f>$BB81/12</f>
        <v>0</v>
      </c>
      <c r="AY81" s="50">
        <f>$BB81/12</f>
        <v>0</v>
      </c>
      <c r="AZ81" s="50">
        <f>$BB81/12</f>
        <v>0</v>
      </c>
      <c r="BA81" s="50">
        <f>$BB81/12</f>
        <v>0</v>
      </c>
      <c r="BB81" s="50">
        <f>0</f>
        <v>0</v>
      </c>
      <c r="BC81" s="50">
        <f>$BO81/12</f>
        <v>0</v>
      </c>
      <c r="BD81" s="50">
        <f>$BO81/12</f>
        <v>0</v>
      </c>
      <c r="BE81" s="50">
        <f>$BO81/12</f>
        <v>0</v>
      </c>
      <c r="BF81" s="50">
        <f>$BO81/12</f>
        <v>0</v>
      </c>
      <c r="BG81" s="50">
        <f>$BO81/12</f>
        <v>0</v>
      </c>
      <c r="BH81" s="50">
        <f>$BO81/12</f>
        <v>0</v>
      </c>
      <c r="BI81" s="50">
        <f>$BO81/12</f>
        <v>0</v>
      </c>
      <c r="BJ81" s="50">
        <f>$BO81/12</f>
        <v>0</v>
      </c>
      <c r="BK81" s="50">
        <f>$BO81/12</f>
        <v>0</v>
      </c>
      <c r="BL81" s="50">
        <f>$BO81/12</f>
        <v>0</v>
      </c>
      <c r="BM81" s="50">
        <f>$BO81/12</f>
        <v>0</v>
      </c>
      <c r="BN81" s="50">
        <f>$BO81/12</f>
        <v>0</v>
      </c>
      <c r="BO81" s="50">
        <f>0</f>
        <v>0</v>
      </c>
    </row>
    <row r="82" ht="15" customHeight="1">
      <c r="A82" s="49" t="inlineStr">
        <is>
          <t>Senior SBA Loan Principal Repayment</t>
        </is>
      </c>
      <c r="B82" s="50">
        <f>0</f>
        <v>0</v>
      </c>
      <c r="C82" s="50">
        <f>-(B54-C54)</f>
        <v>-3052.6405973718502</v>
      </c>
      <c r="D82" s="50">
        <f>-(C54-D54)</f>
        <v>-3052.6405973718502</v>
      </c>
      <c r="E82" s="50">
        <f>-(D54-E54)</f>
        <v>-3052.6405973718502</v>
      </c>
      <c r="F82" s="50">
        <f>-(E54-F54)</f>
        <v>-3052.6405973719666</v>
      </c>
      <c r="G82" s="50">
        <f>-(F54-G54)</f>
        <v>-3052.6405973718502</v>
      </c>
      <c r="H82" s="50">
        <f>-(G54-H54)</f>
        <v>-3052.6405973718502</v>
      </c>
      <c r="I82" s="50">
        <f>-(H54-I54)</f>
        <v>-3052.6405973718502</v>
      </c>
      <c r="J82" s="50">
        <f>-(I54-J54)</f>
        <v>-3052.6405973718502</v>
      </c>
      <c r="K82" s="50">
        <f>-(J54-K54)</f>
        <v>-3052.6405973719666</v>
      </c>
      <c r="L82" s="50">
        <f>-(K54-L54)</f>
        <v>-3052.6405973718502</v>
      </c>
      <c r="M82" s="50">
        <f>-(L54-M54)</f>
        <v>-3052.6405973718502</v>
      </c>
      <c r="N82" s="50">
        <f>-(M54-N54)</f>
        <v>-3052.6405973718502</v>
      </c>
      <c r="O82" s="50">
        <f>-((Assumptions!E32)-(IFERROR(Assumptions!E32*(1+Assumptions!E30)^1-(PMT(Assumptions!E30,Assumptions!E31,-Assumptions!E32))*(((1+Assumptions!E30)^1-1)/Assumptions!E30),Assumptions!E32)))</f>
        <v>-36631.687168462435</v>
      </c>
      <c r="P82" s="50">
        <f>-(O54-P54)</f>
        <v>-3342.6414541222621</v>
      </c>
      <c r="Q82" s="50">
        <f>-(P54-Q54)</f>
        <v>-3342.6414541221457</v>
      </c>
      <c r="R82" s="50">
        <f>-(Q54-R54)</f>
        <v>-3342.6414541222039</v>
      </c>
      <c r="S82" s="50">
        <f>-(R54-S54)</f>
        <v>-3342.6414541222039</v>
      </c>
      <c r="T82" s="50">
        <f>-(S54-T54)</f>
        <v>-3342.6414541222039</v>
      </c>
      <c r="U82" s="50">
        <f>-(T54-U54)</f>
        <v>-3342.6414541222039</v>
      </c>
      <c r="V82" s="50">
        <f>-(U54-V54)</f>
        <v>-3342.6414541222621</v>
      </c>
      <c r="W82" s="50">
        <f>-(V54-W54)</f>
        <v>-3342.6414541222039</v>
      </c>
      <c r="X82" s="50">
        <f>-(W54-X54)</f>
        <v>-3342.6414541222039</v>
      </c>
      <c r="Y82" s="50">
        <f>-(X54-Y54)</f>
        <v>-3342.6414541222039</v>
      </c>
      <c r="Z82" s="50">
        <f>-(Y54-Z54)</f>
        <v>-3342.6414541222039</v>
      </c>
      <c r="AA82" s="50">
        <f>-(Z54-AA54)</f>
        <v>-3342.6414541222039</v>
      </c>
      <c r="AB82" s="50">
        <f>-((IFERROR(Assumptions!E32*(1+Assumptions!E30)^1-(PMT(Assumptions!E30,Assumptions!E31,-Assumptions!E32))*(((1+Assumptions!E30)^1-1)/Assumptions!E30),Assumptions!E32))-(IFERROR(Assumptions!E32*(1+Assumptions!E30)^2-(PMT(Assumptions!E30,Assumptions!E31,-Assumptions!E32))*(((1+Assumptions!E30)^2-1)/Assumptions!E30),Assumptions!E32)))</f>
        <v>-40111.697449466505</v>
      </c>
      <c r="AC82" s="50">
        <f>-(AB54-AC54)</f>
        <v>-3660.1923922637943</v>
      </c>
      <c r="AD82" s="50">
        <f>-(AC54-AD54)</f>
        <v>-3660.1923922637943</v>
      </c>
      <c r="AE82" s="50">
        <f>-(AD54-AE54)</f>
        <v>-3660.1923922638525</v>
      </c>
      <c r="AF82" s="50">
        <f>-(AE54-AF54)</f>
        <v>-3660.1923922637943</v>
      </c>
      <c r="AG82" s="50">
        <f>-(AF54-AG54)</f>
        <v>-3660.1923922637943</v>
      </c>
      <c r="AH82" s="50">
        <f>-(AG54-AH54)</f>
        <v>-3660.1923922637943</v>
      </c>
      <c r="AI82" s="50">
        <f>-(AH54-AI54)</f>
        <v>-3660.1923922637943</v>
      </c>
      <c r="AJ82" s="50">
        <f>-(AI54-AJ54)</f>
        <v>-3660.1923922637943</v>
      </c>
      <c r="AK82" s="50">
        <f>-(AJ54-AK54)</f>
        <v>-3660.1923922637943</v>
      </c>
      <c r="AL82" s="50">
        <f>-(AK54-AL54)</f>
        <v>-3660.1923922638525</v>
      </c>
      <c r="AM82" s="50">
        <f>-(AL54-AM54)</f>
        <v>-3660.1923922637943</v>
      </c>
      <c r="AN82" s="50">
        <f>-(AM54-AN54)</f>
        <v>-3660.1923922637943</v>
      </c>
      <c r="AO82" s="50">
        <f>-((IFERROR(Assumptions!E32*(1+Assumptions!E30)^2-(PMT(Assumptions!E30,Assumptions!E31,-Assumptions!E32))*(((1+Assumptions!E30)^2-1)/Assumptions!E30),Assumptions!E32))-(IFERROR(Assumptions!E32*(1+Assumptions!E30)^3-(PMT(Assumptions!E30,Assumptions!E31,-Assumptions!E32))*(((1+Assumptions!E30)^3-1)/Assumptions!E30),Assumptions!E32)))</f>
        <v>-43922.308707165648</v>
      </c>
      <c r="AP82" s="50">
        <f>-(AO54-AP54)</f>
        <v>-4007.9106695288792</v>
      </c>
      <c r="AQ82" s="50">
        <f>-(AP54-AQ54)</f>
        <v>-4007.9106695288792</v>
      </c>
      <c r="AR82" s="50">
        <f>-(AQ54-AR54)</f>
        <v>-4007.910669528821</v>
      </c>
      <c r="AS82" s="50">
        <f>-(AR54-AS54)</f>
        <v>-4007.9106695288792</v>
      </c>
      <c r="AT82" s="50">
        <f>-(AS54-AT54)</f>
        <v>-4007.9106695288792</v>
      </c>
      <c r="AU82" s="50">
        <f>-(AT54-AU54)</f>
        <v>-4007.9106695288792</v>
      </c>
      <c r="AV82" s="50">
        <f>-(AU54-AV54)</f>
        <v>-4007.9106695288792</v>
      </c>
      <c r="AW82" s="50">
        <f>-(AV54-AW54)</f>
        <v>-4007.9106695288792</v>
      </c>
      <c r="AX82" s="50">
        <f>-(AW54-AX54)</f>
        <v>-4007.9106695288792</v>
      </c>
      <c r="AY82" s="50">
        <f>-(AX54-AY54)</f>
        <v>-4007.910669528821</v>
      </c>
      <c r="AZ82" s="50">
        <f>-(AY54-AZ54)</f>
        <v>-4007.9106695288792</v>
      </c>
      <c r="BA82" s="50">
        <f>-(AZ54-BA54)</f>
        <v>-4007.9106695288792</v>
      </c>
      <c r="BB82" s="50">
        <f>-((IFERROR(Assumptions!E32*(1+Assumptions!E30)^3-(PMT(Assumptions!E30,Assumptions!E31,-Assumptions!E32))*(((1+Assumptions!E30)^3-1)/Assumptions!E30),Assumptions!E32))-(IFERROR(Assumptions!E32*(1+Assumptions!E30)^4-(PMT(Assumptions!E30,Assumptions!E31,-Assumptions!E32))*(((1+Assumptions!E30)^4-1)/Assumptions!E30),Assumptions!E32)))</f>
        <v>-48094.928034346434</v>
      </c>
      <c r="BC82" s="50">
        <f>-(BB54-BC54)</f>
        <v>-4388.6621831341181</v>
      </c>
      <c r="BD82" s="50">
        <f>-(BC54-BD54)</f>
        <v>-4388.6621831341181</v>
      </c>
      <c r="BE82" s="50">
        <f>-(BD54-BE54)</f>
        <v>-4388.6621831341181</v>
      </c>
      <c r="BF82" s="50">
        <f>-(BE54-BF54)</f>
        <v>-4388.6621831341181</v>
      </c>
      <c r="BG82" s="50">
        <f>-(BF54-BG54)</f>
        <v>-4388.6621831341181</v>
      </c>
      <c r="BH82" s="50">
        <f>-(BG54-BH54)</f>
        <v>-4388.6621831341763</v>
      </c>
      <c r="BI82" s="50">
        <f>-(BH54-BI54)</f>
        <v>-4388.6621831341181</v>
      </c>
      <c r="BJ82" s="50">
        <f>-(BI54-BJ54)</f>
        <v>-4388.6621831341181</v>
      </c>
      <c r="BK82" s="50">
        <f>-(BJ54-BK54)</f>
        <v>-4388.6621831341181</v>
      </c>
      <c r="BL82" s="50">
        <f>-(BK54-BL54)</f>
        <v>-4388.6621831341181</v>
      </c>
      <c r="BM82" s="50">
        <f>-(BL54-BM54)</f>
        <v>-4388.6621831341181</v>
      </c>
      <c r="BN82" s="50">
        <f>-(BM54-BN54)</f>
        <v>-4388.6621831341181</v>
      </c>
      <c r="BO82" s="50">
        <f>-((IFERROR(Assumptions!E32*(1+Assumptions!E30)^4-(PMT(Assumptions!E30,Assumptions!E31,-Assumptions!E32))*(((1+Assumptions!E30)^4-1)/Assumptions!E30),Assumptions!E32))-(IFERROR(Assumptions!E32*(1+Assumptions!E30)^5-(PMT(Assumptions!E30,Assumptions!E31,-Assumptions!E32))*(((1+Assumptions!E30)^5-1)/Assumptions!E30),Assumptions!E32)))</f>
        <v>-52663.946197609475</v>
      </c>
    </row>
    <row r="83" ht="15" customHeight="1">
      <c r="A83" s="49" t="inlineStr">
        <is>
          <t>Seller Note Principal Repayment</t>
        </is>
      </c>
      <c r="B83" s="50">
        <f>0</f>
        <v>0</v>
      </c>
      <c r="C83" s="50">
        <f>-(B55-C55)</f>
        <v>-0</v>
      </c>
      <c r="D83" s="50">
        <f>-(C55-D55)</f>
        <v>-0</v>
      </c>
      <c r="E83" s="50">
        <f>-(D55-E55)</f>
        <v>-0</v>
      </c>
      <c r="F83" s="50">
        <f>-(E55-F55)</f>
        <v>-0</v>
      </c>
      <c r="G83" s="50">
        <f>-(F55-G55)</f>
        <v>-0</v>
      </c>
      <c r="H83" s="50">
        <f>-(G55-H55)</f>
        <v>-0</v>
      </c>
      <c r="I83" s="50">
        <f>-(H55-I55)</f>
        <v>-0</v>
      </c>
      <c r="J83" s="50">
        <f>-(I55-J55)</f>
        <v>-0</v>
      </c>
      <c r="K83" s="50">
        <f>-(J55-K55)</f>
        <v>-0</v>
      </c>
      <c r="L83" s="50">
        <f>-(K55-L55)</f>
        <v>-0</v>
      </c>
      <c r="M83" s="50">
        <f>-(L55-M55)</f>
        <v>-0</v>
      </c>
      <c r="N83" s="50">
        <f>-(M55-N55)</f>
        <v>-0</v>
      </c>
      <c r="O83" s="50">
        <f>-((Assumptions!E17)-(IFERROR(Assumptions!E17*(1+Assumptions!E18)^1-(PMT(Assumptions!E18,Assumptions!E19,-Assumptions!E17))*(((1+Assumptions!E18)^1-1)/Assumptions!E18),Assumptions!E17)))</f>
        <v>-0</v>
      </c>
      <c r="P83" s="50">
        <f>-(O55-P55)</f>
        <v>-0</v>
      </c>
      <c r="Q83" s="50">
        <f>-(P55-Q55)</f>
        <v>-0</v>
      </c>
      <c r="R83" s="50">
        <f>-(Q55-R55)</f>
        <v>-0</v>
      </c>
      <c r="S83" s="50">
        <f>-(R55-S55)</f>
        <v>-0</v>
      </c>
      <c r="T83" s="50">
        <f>-(S55-T55)</f>
        <v>-0</v>
      </c>
      <c r="U83" s="50">
        <f>-(T55-U55)</f>
        <v>-0</v>
      </c>
      <c r="V83" s="50">
        <f>-(U55-V55)</f>
        <v>-0</v>
      </c>
      <c r="W83" s="50">
        <f>-(V55-W55)</f>
        <v>-0</v>
      </c>
      <c r="X83" s="50">
        <f>-(W55-X55)</f>
        <v>-0</v>
      </c>
      <c r="Y83" s="50">
        <f>-(X55-Y55)</f>
        <v>-0</v>
      </c>
      <c r="Z83" s="50">
        <f>-(Y55-Z55)</f>
        <v>-0</v>
      </c>
      <c r="AA83" s="50">
        <f>-(Z55-AA55)</f>
        <v>-0</v>
      </c>
      <c r="AB83" s="50">
        <f>-((IFERROR(Assumptions!E17*(1+Assumptions!E18)^1-(PMT(Assumptions!E18,Assumptions!E19,-Assumptions!E17))*(((1+Assumptions!E18)^1-1)/Assumptions!E18),Assumptions!E17))-(IFERROR(Assumptions!E17*(1+Assumptions!E18)^2-(PMT(Assumptions!E18,Assumptions!E19,-Assumptions!E17))*(((1+Assumptions!E18)^2-1)/Assumptions!E18),Assumptions!E17)))</f>
        <v>-0</v>
      </c>
      <c r="AC83" s="50">
        <f>-(AB55-AC55)</f>
        <v>-0</v>
      </c>
      <c r="AD83" s="50">
        <f>-(AC55-AD55)</f>
        <v>-0</v>
      </c>
      <c r="AE83" s="50">
        <f>-(AD55-AE55)</f>
        <v>-0</v>
      </c>
      <c r="AF83" s="50">
        <f>-(AE55-AF55)</f>
        <v>-0</v>
      </c>
      <c r="AG83" s="50">
        <f>-(AF55-AG55)</f>
        <v>-0</v>
      </c>
      <c r="AH83" s="50">
        <f>-(AG55-AH55)</f>
        <v>-0</v>
      </c>
      <c r="AI83" s="50">
        <f>-(AH55-AI55)</f>
        <v>-0</v>
      </c>
      <c r="AJ83" s="50">
        <f>-(AI55-AJ55)</f>
        <v>-0</v>
      </c>
      <c r="AK83" s="50">
        <f>-(AJ55-AK55)</f>
        <v>-0</v>
      </c>
      <c r="AL83" s="50">
        <f>-(AK55-AL55)</f>
        <v>-0</v>
      </c>
      <c r="AM83" s="50">
        <f>-(AL55-AM55)</f>
        <v>-0</v>
      </c>
      <c r="AN83" s="50">
        <f>-(AM55-AN55)</f>
        <v>-0</v>
      </c>
      <c r="AO83" s="50">
        <f>-((IFERROR(Assumptions!E17*(1+Assumptions!E18)^2-(PMT(Assumptions!E18,Assumptions!E19,-Assumptions!E17))*(((1+Assumptions!E18)^2-1)/Assumptions!E18),Assumptions!E17))-(IFERROR(Assumptions!E17*(1+Assumptions!E18)^3-(PMT(Assumptions!E18,Assumptions!E19,-Assumptions!E17))*(((1+Assumptions!E18)^3-1)/Assumptions!E18),Assumptions!E17)))</f>
        <v>-0</v>
      </c>
      <c r="AP83" s="50">
        <f>-(AO55-AP55)</f>
        <v>-0</v>
      </c>
      <c r="AQ83" s="50">
        <f>-(AP55-AQ55)</f>
        <v>-0</v>
      </c>
      <c r="AR83" s="50">
        <f>-(AQ55-AR55)</f>
        <v>-0</v>
      </c>
      <c r="AS83" s="50">
        <f>-(AR55-AS55)</f>
        <v>-0</v>
      </c>
      <c r="AT83" s="50">
        <f>-(AS55-AT55)</f>
        <v>-0</v>
      </c>
      <c r="AU83" s="50">
        <f>-(AT55-AU55)</f>
        <v>-0</v>
      </c>
      <c r="AV83" s="50">
        <f>-(AU55-AV55)</f>
        <v>-0</v>
      </c>
      <c r="AW83" s="50">
        <f>-(AV55-AW55)</f>
        <v>-0</v>
      </c>
      <c r="AX83" s="50">
        <f>-(AW55-AX55)</f>
        <v>-0</v>
      </c>
      <c r="AY83" s="50">
        <f>-(AX55-AY55)</f>
        <v>-0</v>
      </c>
      <c r="AZ83" s="50">
        <f>-(AY55-AZ55)</f>
        <v>-0</v>
      </c>
      <c r="BA83" s="50">
        <f>-(AZ55-BA55)</f>
        <v>-0</v>
      </c>
      <c r="BB83" s="50">
        <f>-((IFERROR(Assumptions!E17*(1+Assumptions!E18)^3-(PMT(Assumptions!E18,Assumptions!E19,-Assumptions!E17))*(((1+Assumptions!E18)^3-1)/Assumptions!E18),Assumptions!E17))-(IFERROR(Assumptions!E17*(1+Assumptions!E18)^4-(PMT(Assumptions!E18,Assumptions!E19,-Assumptions!E17))*(((1+Assumptions!E18)^4-1)/Assumptions!E18),Assumptions!E17)))</f>
        <v>-0</v>
      </c>
      <c r="BC83" s="50">
        <f>-(BB55-BC55)</f>
        <v>-0</v>
      </c>
      <c r="BD83" s="50">
        <f>-(BC55-BD55)</f>
        <v>-0</v>
      </c>
      <c r="BE83" s="50">
        <f>-(BD55-BE55)</f>
        <v>-0</v>
      </c>
      <c r="BF83" s="50">
        <f>-(BE55-BF55)</f>
        <v>-0</v>
      </c>
      <c r="BG83" s="50">
        <f>-(BF55-BG55)</f>
        <v>-0</v>
      </c>
      <c r="BH83" s="50">
        <f>-(BG55-BH55)</f>
        <v>-0</v>
      </c>
      <c r="BI83" s="50">
        <f>-(BH55-BI55)</f>
        <v>-0</v>
      </c>
      <c r="BJ83" s="50">
        <f>-(BI55-BJ55)</f>
        <v>-0</v>
      </c>
      <c r="BK83" s="50">
        <f>-(BJ55-BK55)</f>
        <v>-0</v>
      </c>
      <c r="BL83" s="50">
        <f>-(BK55-BL55)</f>
        <v>-0</v>
      </c>
      <c r="BM83" s="50">
        <f>-(BL55-BM55)</f>
        <v>-0</v>
      </c>
      <c r="BN83" s="50">
        <f>-(BM55-BN55)</f>
        <v>-0</v>
      </c>
      <c r="BO83" s="50">
        <f>-((IFERROR(Assumptions!E17*(1+Assumptions!E18)^4-(PMT(Assumptions!E18,Assumptions!E19,-Assumptions!E17))*(((1+Assumptions!E18)^4-1)/Assumptions!E18),Assumptions!E17))-(IFERROR(Assumptions!E17*(1+Assumptions!E18)^5-(PMT(Assumptions!E18,Assumptions!E19,-Assumptions!E17))*(((1+Assumptions!E18)^5-1)/Assumptions!E18),Assumptions!E17)))</f>
        <v>-0</v>
      </c>
    </row>
    <row r="84" ht="15" customHeight="1">
      <c r="A84" s="49" t="inlineStr">
        <is>
          <t>Owner Tax Distributions</t>
        </is>
      </c>
      <c r="B84" s="50">
        <f>0</f>
        <v>0</v>
      </c>
      <c r="C84" s="50">
        <f>-C39</f>
        <v>-1142.8050002312496</v>
      </c>
      <c r="D84" s="50">
        <f>-D39</f>
        <v>-1142.8050002312496</v>
      </c>
      <c r="E84" s="50">
        <f>-E39</f>
        <v>-1142.8050002312496</v>
      </c>
      <c r="F84" s="50">
        <f>-F39</f>
        <v>-1142.8050002312496</v>
      </c>
      <c r="G84" s="50">
        <f>-G39</f>
        <v>-1142.8050002312496</v>
      </c>
      <c r="H84" s="50">
        <f>-H39</f>
        <v>-1142.8050002312496</v>
      </c>
      <c r="I84" s="50">
        <f>-I39</f>
        <v>-1142.8050002312496</v>
      </c>
      <c r="J84" s="50">
        <f>-J39</f>
        <v>-1142.8050002312496</v>
      </c>
      <c r="K84" s="50">
        <f>-K39</f>
        <v>-1142.8050002312496</v>
      </c>
      <c r="L84" s="50">
        <f>-L39</f>
        <v>-1142.8050002312496</v>
      </c>
      <c r="M84" s="50">
        <f>-M39</f>
        <v>-1142.8050002312496</v>
      </c>
      <c r="N84" s="50">
        <f>-N39</f>
        <v>-1142.8050002312496</v>
      </c>
      <c r="O84" s="50">
        <f>-O39</f>
        <v>-13713.660002774996</v>
      </c>
      <c r="P84" s="50">
        <f>-P39</f>
        <v>-588.03174411254679</v>
      </c>
      <c r="Q84" s="50">
        <f>-Q39</f>
        <v>-588.03174411254679</v>
      </c>
      <c r="R84" s="50">
        <f>-R39</f>
        <v>-588.03174411254679</v>
      </c>
      <c r="S84" s="50">
        <f>-S39</f>
        <v>-588.03174411254679</v>
      </c>
      <c r="T84" s="50">
        <f>-T39</f>
        <v>-588.03174411254679</v>
      </c>
      <c r="U84" s="50">
        <f>-U39</f>
        <v>-588.03174411254679</v>
      </c>
      <c r="V84" s="50">
        <f>-V39</f>
        <v>-588.03174411254679</v>
      </c>
      <c r="W84" s="50">
        <f>-W39</f>
        <v>-588.03174411254679</v>
      </c>
      <c r="X84" s="50">
        <f>-X39</f>
        <v>-588.03174411254679</v>
      </c>
      <c r="Y84" s="50">
        <f>-Y39</f>
        <v>-588.03174411254679</v>
      </c>
      <c r="Z84" s="50">
        <f>-Z39</f>
        <v>-588.03174411254679</v>
      </c>
      <c r="AA84" s="50">
        <f>-AA39</f>
        <v>-588.03174411254679</v>
      </c>
      <c r="AB84" s="50">
        <f>-AB39</f>
        <v>-7056.3809293505619</v>
      </c>
      <c r="AC84" s="50">
        <f>-AC39</f>
        <v>-715.86947926816231</v>
      </c>
      <c r="AD84" s="50">
        <f>-AD39</f>
        <v>-715.86947926816231</v>
      </c>
      <c r="AE84" s="50">
        <f>-AE39</f>
        <v>-715.86947926816231</v>
      </c>
      <c r="AF84" s="50">
        <f>-AF39</f>
        <v>-715.86947926816231</v>
      </c>
      <c r="AG84" s="50">
        <f>-AG39</f>
        <v>-715.86947926816231</v>
      </c>
      <c r="AH84" s="50">
        <f>-AH39</f>
        <v>-715.86947926816231</v>
      </c>
      <c r="AI84" s="50">
        <f>-AI39</f>
        <v>-715.86947926816231</v>
      </c>
      <c r="AJ84" s="50">
        <f>-AJ39</f>
        <v>-715.86947926816231</v>
      </c>
      <c r="AK84" s="50">
        <f>-AK39</f>
        <v>-715.86947926816231</v>
      </c>
      <c r="AL84" s="50">
        <f>-AL39</f>
        <v>-715.86947926816231</v>
      </c>
      <c r="AM84" s="50">
        <f>-AM39</f>
        <v>-715.86947926816231</v>
      </c>
      <c r="AN84" s="50">
        <f>-AN39</f>
        <v>-715.86947926816231</v>
      </c>
      <c r="AO84" s="50">
        <f>-AO39</f>
        <v>-8590.4337512179482</v>
      </c>
      <c r="AP84" s="50">
        <f>-AP39</f>
        <v>-849.17916518315133</v>
      </c>
      <c r="AQ84" s="50">
        <f>-AQ39</f>
        <v>-849.17916518315133</v>
      </c>
      <c r="AR84" s="50">
        <f>-AR39</f>
        <v>-849.17916518315133</v>
      </c>
      <c r="AS84" s="50">
        <f>-AS39</f>
        <v>-849.17916518315133</v>
      </c>
      <c r="AT84" s="50">
        <f>-AT39</f>
        <v>-849.17916518315133</v>
      </c>
      <c r="AU84" s="50">
        <f>-AU39</f>
        <v>-849.17916518315133</v>
      </c>
      <c r="AV84" s="50">
        <f>-AV39</f>
        <v>-849.17916518315133</v>
      </c>
      <c r="AW84" s="50">
        <f>-AW39</f>
        <v>-849.17916518315133</v>
      </c>
      <c r="AX84" s="50">
        <f>-AX39</f>
        <v>-849.17916518315133</v>
      </c>
      <c r="AY84" s="50">
        <f>-AY39</f>
        <v>-849.17916518315133</v>
      </c>
      <c r="AZ84" s="50">
        <f>-AZ39</f>
        <v>-849.17916518315133</v>
      </c>
      <c r="BA84" s="50">
        <f>-BA39</f>
        <v>-849.17916518315133</v>
      </c>
      <c r="BB84" s="50">
        <f>-BB39</f>
        <v>-10190.149982197816</v>
      </c>
      <c r="BC84" s="50">
        <f>-BC39</f>
        <v>-988.06139169042615</v>
      </c>
      <c r="BD84" s="50">
        <f>-BD39</f>
        <v>-988.06139169042615</v>
      </c>
      <c r="BE84" s="50">
        <f>-BE39</f>
        <v>-988.06139169042615</v>
      </c>
      <c r="BF84" s="50">
        <f>-BF39</f>
        <v>-988.06139169042615</v>
      </c>
      <c r="BG84" s="50">
        <f>-BG39</f>
        <v>-988.06139169042615</v>
      </c>
      <c r="BH84" s="50">
        <f>-BH39</f>
        <v>-988.06139169042615</v>
      </c>
      <c r="BI84" s="50">
        <f>-BI39</f>
        <v>-988.06139169042615</v>
      </c>
      <c r="BJ84" s="50">
        <f>-BJ39</f>
        <v>-988.06139169042615</v>
      </c>
      <c r="BK84" s="50">
        <f>-BK39</f>
        <v>-988.06139169042615</v>
      </c>
      <c r="BL84" s="50">
        <f>-BL39</f>
        <v>-988.06139169042615</v>
      </c>
      <c r="BM84" s="50">
        <f>-BM39</f>
        <v>-988.06139169042615</v>
      </c>
      <c r="BN84" s="50">
        <f>-BN39</f>
        <v>-988.06139169042615</v>
      </c>
      <c r="BO84" s="50">
        <f>-BO39</f>
        <v>-11856.736700285113</v>
      </c>
    </row>
    <row r="85" ht="15" customHeight="1">
      <c r="A85" s="60" t="inlineStr">
        <is>
          <t>Net Cash from Financing Activities</t>
        </is>
      </c>
      <c r="B85" s="52">
        <f>B78+B79+B80+B82+B83+B84</f>
        <v>630299.69999999995</v>
      </c>
      <c r="C85" s="52">
        <f>C78+C79+C80+C82+C83+C84</f>
        <v>-4195.4455976030995</v>
      </c>
      <c r="D85" s="52">
        <f>D78+D79+D80+D82+D83+D84</f>
        <v>-4195.4455976030995</v>
      </c>
      <c r="E85" s="52">
        <f>E78+E79+E80+E82+E83+E84</f>
        <v>-4195.4455976030995</v>
      </c>
      <c r="F85" s="52">
        <f>F78+F79+F80+F82+F83+F84</f>
        <v>-4195.4455976032159</v>
      </c>
      <c r="G85" s="52">
        <f>G78+G79+G80+G82+G83+G84</f>
        <v>-4195.4455976030995</v>
      </c>
      <c r="H85" s="52">
        <f>H78+H79+H80+H82+H83+H84</f>
        <v>-4195.4455976030995</v>
      </c>
      <c r="I85" s="52">
        <f>I78+I79+I80+I82+I83+I84</f>
        <v>-4195.4455976030995</v>
      </c>
      <c r="J85" s="52">
        <f>J78+J79+J80+J82+J83+J84</f>
        <v>-4195.4455976030995</v>
      </c>
      <c r="K85" s="52">
        <f>K78+K79+K80+K82+K83+K84</f>
        <v>-4195.4455976032159</v>
      </c>
      <c r="L85" s="52">
        <f>L78+L79+L80+L82+L83+L84</f>
        <v>-4195.4455976030995</v>
      </c>
      <c r="M85" s="52">
        <f>M78+M79+M80+M82+M83+M84</f>
        <v>-4195.4455976030995</v>
      </c>
      <c r="N85" s="52">
        <f>N78+N79+N80+N82+N83+N84</f>
        <v>-4195.4455976030995</v>
      </c>
      <c r="O85" s="52">
        <f>O78+O79+O80+O82+O83+O84</f>
        <v>-50345.34717123743</v>
      </c>
      <c r="P85" s="52">
        <f>P78+P79+P80+P82+P83+P84</f>
        <v>-3930.6731982348088</v>
      </c>
      <c r="Q85" s="52">
        <f>Q78+Q79+Q80+Q82+Q83+Q84</f>
        <v>-3930.6731982346923</v>
      </c>
      <c r="R85" s="52">
        <f>R78+R79+R80+R82+R83+R84</f>
        <v>-3930.6731982347505</v>
      </c>
      <c r="S85" s="52">
        <f>S78+S79+S80+S82+S83+S84</f>
        <v>-3930.6731982347505</v>
      </c>
      <c r="T85" s="52">
        <f>T78+T79+T80+T82+T83+T84</f>
        <v>-3930.6731982347505</v>
      </c>
      <c r="U85" s="52">
        <f>U78+U79+U80+U82+U83+U84</f>
        <v>-3930.6731982347505</v>
      </c>
      <c r="V85" s="52">
        <f>V78+V79+V80+V82+V83+V84</f>
        <v>-3930.6731982348088</v>
      </c>
      <c r="W85" s="52">
        <f>W78+W79+W80+W82+W83+W84</f>
        <v>-3930.6731982347505</v>
      </c>
      <c r="X85" s="52">
        <f>X78+X79+X80+X82+X83+X84</f>
        <v>-3930.6731982347505</v>
      </c>
      <c r="Y85" s="52">
        <f>Y78+Y79+Y80+Y82+Y83+Y84</f>
        <v>-3930.6731982347505</v>
      </c>
      <c r="Z85" s="52">
        <f>Z78+Z79+Z80+Z82+Z83+Z84</f>
        <v>-3930.6731982347505</v>
      </c>
      <c r="AA85" s="52">
        <f>AA78+AA79+AA80+AA82+AA83+AA84</f>
        <v>-3930.6731982347505</v>
      </c>
      <c r="AB85" s="52">
        <f>AB78+AB79+AB80+AB82+AB83+AB84</f>
        <v>-47168.078378817067</v>
      </c>
      <c r="AC85" s="52">
        <f>AC78+AC79+AC80+AC82+AC83+AC84</f>
        <v>-4376.061871531957</v>
      </c>
      <c r="AD85" s="52">
        <f>AD78+AD79+AD80+AD82+AD83+AD84</f>
        <v>-4376.061871531957</v>
      </c>
      <c r="AE85" s="52">
        <f>AE78+AE79+AE80+AE82+AE83+AE84</f>
        <v>-4376.0618715320152</v>
      </c>
      <c r="AF85" s="52">
        <f>AF78+AF79+AF80+AF82+AF83+AF84</f>
        <v>-4376.061871531957</v>
      </c>
      <c r="AG85" s="52">
        <f>AG78+AG79+AG80+AG82+AG83+AG84</f>
        <v>-4376.061871531957</v>
      </c>
      <c r="AH85" s="52">
        <f>AH78+AH79+AH80+AH82+AH83+AH84</f>
        <v>-4376.061871531957</v>
      </c>
      <c r="AI85" s="52">
        <f>AI78+AI79+AI80+AI82+AI83+AI84</f>
        <v>-4376.061871531957</v>
      </c>
      <c r="AJ85" s="52">
        <f>AJ78+AJ79+AJ80+AJ82+AJ83+AJ84</f>
        <v>-4376.061871531957</v>
      </c>
      <c r="AK85" s="52">
        <f>AK78+AK79+AK80+AK82+AK83+AK84</f>
        <v>-4376.061871531957</v>
      </c>
      <c r="AL85" s="52">
        <f>AL78+AL79+AL80+AL82+AL83+AL84</f>
        <v>-4376.0618715320152</v>
      </c>
      <c r="AM85" s="52">
        <f>AM78+AM79+AM80+AM82+AM83+AM84</f>
        <v>-4376.061871531957</v>
      </c>
      <c r="AN85" s="52">
        <f>AN78+AN79+AN80+AN82+AN83+AN84</f>
        <v>-4376.061871531957</v>
      </c>
      <c r="AO85" s="52">
        <f>AO78+AO79+AO80+AO82+AO83+AO84</f>
        <v>-52512.742458383596</v>
      </c>
      <c r="AP85" s="52">
        <f>AP78+AP79+AP80+AP82+AP83+AP84</f>
        <v>-4857.089834712031</v>
      </c>
      <c r="AQ85" s="52">
        <f>AQ78+AQ79+AQ80+AQ82+AQ83+AQ84</f>
        <v>-4857.089834712031</v>
      </c>
      <c r="AR85" s="52">
        <f>AR78+AR79+AR80+AR82+AR83+AR84</f>
        <v>-4857.0898347119728</v>
      </c>
      <c r="AS85" s="52">
        <f>AS78+AS79+AS80+AS82+AS83+AS84</f>
        <v>-4857.089834712031</v>
      </c>
      <c r="AT85" s="52">
        <f>AT78+AT79+AT80+AT82+AT83+AT84</f>
        <v>-4857.089834712031</v>
      </c>
      <c r="AU85" s="52">
        <f>AU78+AU79+AU80+AU82+AU83+AU84</f>
        <v>-4857.089834712031</v>
      </c>
      <c r="AV85" s="52">
        <f>AV78+AV79+AV80+AV82+AV83+AV84</f>
        <v>-4857.089834712031</v>
      </c>
      <c r="AW85" s="52">
        <f>AW78+AW79+AW80+AW82+AW83+AW84</f>
        <v>-4857.089834712031</v>
      </c>
      <c r="AX85" s="52">
        <f>AX78+AX79+AX80+AX82+AX83+AX84</f>
        <v>-4857.089834712031</v>
      </c>
      <c r="AY85" s="52">
        <f>AY78+AY79+AY80+AY82+AY83+AY84</f>
        <v>-4857.0898347119728</v>
      </c>
      <c r="AZ85" s="52">
        <f>AZ78+AZ79+AZ80+AZ82+AZ83+AZ84</f>
        <v>-4857.089834712031</v>
      </c>
      <c r="BA85" s="52">
        <f>BA78+BA79+BA80+BA82+BA83+BA84</f>
        <v>-4857.089834712031</v>
      </c>
      <c r="BB85" s="52">
        <f>BB78+BB79+BB80+BB82+BB83+BB84</f>
        <v>-58285.078016544248</v>
      </c>
      <c r="BC85" s="52">
        <f>BC78+BC79+BC80+BC82+BC83+BC84</f>
        <v>-5376.7235748245439</v>
      </c>
      <c r="BD85" s="52">
        <f>BD78+BD79+BD80+BD82+BD83+BD84</f>
        <v>-5376.7235748245439</v>
      </c>
      <c r="BE85" s="52">
        <f>BE78+BE79+BE80+BE82+BE83+BE84</f>
        <v>-5376.7235748245439</v>
      </c>
      <c r="BF85" s="52">
        <f>BF78+BF79+BF80+BF82+BF83+BF84</f>
        <v>-5376.7235748245439</v>
      </c>
      <c r="BG85" s="52">
        <f>BG78+BG79+BG80+BG82+BG83+BG84</f>
        <v>-5376.7235748245439</v>
      </c>
      <c r="BH85" s="52">
        <f>BH78+BH79+BH80+BH82+BH83+BH84</f>
        <v>-5376.7235748246021</v>
      </c>
      <c r="BI85" s="52">
        <f>BI78+BI79+BI80+BI82+BI83+BI84</f>
        <v>-5376.7235748245439</v>
      </c>
      <c r="BJ85" s="52">
        <f>BJ78+BJ79+BJ80+BJ82+BJ83+BJ84</f>
        <v>-5376.7235748245439</v>
      </c>
      <c r="BK85" s="52">
        <f>BK78+BK79+BK80+BK82+BK83+BK84</f>
        <v>-5376.7235748245439</v>
      </c>
      <c r="BL85" s="52">
        <f>BL78+BL79+BL80+BL82+BL83+BL84</f>
        <v>-5376.7235748245439</v>
      </c>
      <c r="BM85" s="52">
        <f>BM78+BM79+BM80+BM82+BM83+BM84</f>
        <v>-5376.7235748245439</v>
      </c>
      <c r="BN85" s="52">
        <f>BN78+BN79+BN80+BN82+BN83+BN84</f>
        <v>-5376.7235748245439</v>
      </c>
      <c r="BO85" s="52">
        <f>BO78+BO79+BO80+BO82+BO83+BO84</f>
        <v>-64520.682897894585</v>
      </c>
    </row>
    <row r="86"/>
    <row r="87" ht="15" customHeight="1">
      <c r="A87" s="60" t="inlineStr">
        <is>
          <t>Net Change in Cash</t>
        </is>
      </c>
      <c r="B87" s="56">
        <f>B75+B85</f>
        <v>30000</v>
      </c>
      <c r="C87" s="56">
        <f>C71+C75+C85</f>
        <v>6833.7100525635606</v>
      </c>
      <c r="D87" s="56">
        <f>D71+D75+D85</f>
        <v>6833.7100525635606</v>
      </c>
      <c r="E87" s="56">
        <f>E71+E75+E85</f>
        <v>6833.7100525635606</v>
      </c>
      <c r="F87" s="56">
        <f>F71+F75+F85</f>
        <v>6833.7100525634442</v>
      </c>
      <c r="G87" s="56">
        <f>G71+G75+G85</f>
        <v>6833.7100525635606</v>
      </c>
      <c r="H87" s="56">
        <f>H71+H75+H85</f>
        <v>6833.7100525635606</v>
      </c>
      <c r="I87" s="56">
        <f>I71+I75+I85</f>
        <v>6833.7100525635606</v>
      </c>
      <c r="J87" s="56">
        <f>J71+J75+J85</f>
        <v>6833.7100525635606</v>
      </c>
      <c r="K87" s="56">
        <f>K71+K75+K85</f>
        <v>6833.7100525634442</v>
      </c>
      <c r="L87" s="56">
        <f>L71+L75+L85</f>
        <v>6833.7100525635606</v>
      </c>
      <c r="M87" s="56">
        <f>M71+M75+M85</f>
        <v>6833.7100525635606</v>
      </c>
      <c r="N87" s="56">
        <f>N71+N75+N85</f>
        <v>6833.7100525635606</v>
      </c>
      <c r="O87" s="56">
        <f>O71+O75+O85</f>
        <v>82004.520630762534</v>
      </c>
      <c r="P87" s="56">
        <f>P71+P75+P85</f>
        <v>3008.0089333702977</v>
      </c>
      <c r="Q87" s="56">
        <f>Q71+Q75+Q85</f>
        <v>3008.0089333704132</v>
      </c>
      <c r="R87" s="56">
        <f>R71+R75+R85</f>
        <v>3008.0089333703559</v>
      </c>
      <c r="S87" s="56">
        <f>S71+S75+S85</f>
        <v>3008.0089333703559</v>
      </c>
      <c r="T87" s="56">
        <f>T71+T75+T85</f>
        <v>3008.008933370355</v>
      </c>
      <c r="U87" s="56">
        <f>U71+U75+U85</f>
        <v>3008.0089333703559</v>
      </c>
      <c r="V87" s="56">
        <f>V71+V75+V85</f>
        <v>3008.0089333702977</v>
      </c>
      <c r="W87" s="56">
        <f>W71+W75+W85</f>
        <v>3008.008933370355</v>
      </c>
      <c r="X87" s="56">
        <f>X71+X75+X85</f>
        <v>3008.0089333703559</v>
      </c>
      <c r="Y87" s="56">
        <f>Y71+Y75+Y85</f>
        <v>3008.0089333703559</v>
      </c>
      <c r="Z87" s="56">
        <f>Z71+Z75+Z85</f>
        <v>3008.008933370355</v>
      </c>
      <c r="AA87" s="56">
        <f>AA71+AA75+AA85</f>
        <v>3008.0089333703559</v>
      </c>
      <c r="AB87" s="56">
        <f>AB71+AB75+AB85</f>
        <v>36096.107200444181</v>
      </c>
      <c r="AC87" s="56">
        <f>AC71+AC75+AC85</f>
        <v>3415.7030004657281</v>
      </c>
      <c r="AD87" s="56">
        <f>AD71+AD75+AD85</f>
        <v>3415.7030004657272</v>
      </c>
      <c r="AE87" s="56">
        <f>AE71+AE75+AE85</f>
        <v>3415.703000465669</v>
      </c>
      <c r="AF87" s="56">
        <f>AF71+AF75+AF85</f>
        <v>3415.7030004657281</v>
      </c>
      <c r="AG87" s="56">
        <f>AG71+AG75+AG85</f>
        <v>3415.7030004657281</v>
      </c>
      <c r="AH87" s="56">
        <f>AH71+AH75+AH85</f>
        <v>3415.7030004657272</v>
      </c>
      <c r="AI87" s="56">
        <f>AI71+AI75+AI85</f>
        <v>3415.7030004657272</v>
      </c>
      <c r="AJ87" s="56">
        <f>AJ71+AJ75+AJ85</f>
        <v>3415.7030004657281</v>
      </c>
      <c r="AK87" s="56">
        <f>AK71+AK75+AK85</f>
        <v>3415.7030004657281</v>
      </c>
      <c r="AL87" s="56">
        <f>AL71+AL75+AL85</f>
        <v>3415.703000465669</v>
      </c>
      <c r="AM87" s="56">
        <f>AM71+AM75+AM85</f>
        <v>3415.7030004657272</v>
      </c>
      <c r="AN87" s="56">
        <f>AN71+AN75+AN85</f>
        <v>3415.7030004657281</v>
      </c>
      <c r="AO87" s="56">
        <f>AO71+AO75+AO85</f>
        <v>40988.43600558849</v>
      </c>
      <c r="AP87" s="56">
        <f>AP71+AP75+AP85</f>
        <v>3824.2748521783542</v>
      </c>
      <c r="AQ87" s="56">
        <f>AQ71+AQ75+AQ85</f>
        <v>3824.2748521783542</v>
      </c>
      <c r="AR87" s="56">
        <f>AR71+AR75+AR85</f>
        <v>3824.2748521784124</v>
      </c>
      <c r="AS87" s="56">
        <f>AS71+AS75+AS85</f>
        <v>3824.2748521783542</v>
      </c>
      <c r="AT87" s="56">
        <f>AT71+AT75+AT85</f>
        <v>3824.2748521783542</v>
      </c>
      <c r="AU87" s="56">
        <f>AU71+AU75+AU85</f>
        <v>3824.2748521783542</v>
      </c>
      <c r="AV87" s="56">
        <f>AV71+AV75+AV85</f>
        <v>3824.2748521783542</v>
      </c>
      <c r="AW87" s="56">
        <f>AW71+AW75+AW85</f>
        <v>3824.2748521783542</v>
      </c>
      <c r="AX87" s="56">
        <f>AX71+AX75+AX85</f>
        <v>3824.2748521783542</v>
      </c>
      <c r="AY87" s="56">
        <f>AY71+AY75+AY85</f>
        <v>3824.2748521784124</v>
      </c>
      <c r="AZ87" s="56">
        <f>AZ71+AZ75+AZ85</f>
        <v>3824.2748521783542</v>
      </c>
      <c r="BA87" s="56">
        <f>BA71+BA75+BA85</f>
        <v>3824.2748521783542</v>
      </c>
      <c r="BB87" s="56">
        <f>BB71+BB75+BB85</f>
        <v>45891.298226140316</v>
      </c>
      <c r="BC87" s="56">
        <f>BC71+BC75+BC85</f>
        <v>4231.4302834694536</v>
      </c>
      <c r="BD87" s="56">
        <f>BD71+BD75+BD85</f>
        <v>4231.4302834694536</v>
      </c>
      <c r="BE87" s="56">
        <f>BE71+BE75+BE85</f>
        <v>4231.4302834694536</v>
      </c>
      <c r="BF87" s="56">
        <f>BF71+BF75+BF85</f>
        <v>4231.4302834694536</v>
      </c>
      <c r="BG87" s="56">
        <f>BG71+BG75+BG85</f>
        <v>4231.4302834694536</v>
      </c>
      <c r="BH87" s="56">
        <f>BH71+BH75+BH85</f>
        <v>4231.4302834693954</v>
      </c>
      <c r="BI87" s="56">
        <f>BI71+BI75+BI85</f>
        <v>4231.4302834694536</v>
      </c>
      <c r="BJ87" s="56">
        <f>BJ71+BJ75+BJ85</f>
        <v>4231.4302834694536</v>
      </c>
      <c r="BK87" s="56">
        <f>BK71+BK75+BK85</f>
        <v>4231.4302834694536</v>
      </c>
      <c r="BL87" s="56">
        <f>BL71+BL75+BL85</f>
        <v>4231.4302834694536</v>
      </c>
      <c r="BM87" s="56">
        <f>BM71+BM75+BM85</f>
        <v>4231.4302834694536</v>
      </c>
      <c r="BN87" s="56">
        <f>BN71+BN75+BN85</f>
        <v>4231.4302834694536</v>
      </c>
      <c r="BO87" s="56">
        <f>BO71+BO75+BO85</f>
        <v>50777.163401633414</v>
      </c>
    </row>
    <row r="88" ht="15" customHeight="1">
      <c r="A88" s="49" t="inlineStr">
        <is>
          <t>Beginning Cash</t>
        </is>
      </c>
      <c r="B88" s="50">
        <f>0</f>
        <v>0</v>
      </c>
      <c r="C88" s="50">
        <f>B46</f>
        <v>29999.700000000001</v>
      </c>
      <c r="D88" s="50">
        <f>C46</f>
        <v>36833.410052563544</v>
      </c>
      <c r="E88" s="50">
        <f>D46</f>
        <v>43667.120105127091</v>
      </c>
      <c r="F88" s="50">
        <f>E46</f>
        <v>50500.830157690638</v>
      </c>
      <c r="G88" s="50">
        <f>F46</f>
        <v>57334.540210254185</v>
      </c>
      <c r="H88" s="50">
        <f>G46</f>
        <v>64168.250262817732</v>
      </c>
      <c r="I88" s="50">
        <f>H46</f>
        <v>71001.960315381279</v>
      </c>
      <c r="J88" s="50">
        <f>I46</f>
        <v>77835.670367944826</v>
      </c>
      <c r="K88" s="50">
        <f>J46</f>
        <v>84669.380420508372</v>
      </c>
      <c r="L88" s="50">
        <f>K46</f>
        <v>91503.090473071919</v>
      </c>
      <c r="M88" s="50">
        <f>L46</f>
        <v>98336.800525635452</v>
      </c>
      <c r="N88" s="50">
        <f>M46</f>
        <v>105170.510578199</v>
      </c>
      <c r="O88" s="50">
        <f>B46</f>
        <v>29999.700000000001</v>
      </c>
      <c r="P88" s="50">
        <f>O46</f>
        <v>112004.22063076255</v>
      </c>
      <c r="Q88" s="50">
        <f>P46</f>
        <v>115012.2295641329</v>
      </c>
      <c r="R88" s="50">
        <f>Q46</f>
        <v>118020.23849750325</v>
      </c>
      <c r="S88" s="50">
        <f>R46</f>
        <v>121028.2474308736</v>
      </c>
      <c r="T88" s="50">
        <f>S46</f>
        <v>124036.25636424393</v>
      </c>
      <c r="U88" s="50">
        <f>T46</f>
        <v>127044.26529761429</v>
      </c>
      <c r="V88" s="50">
        <f>U46</f>
        <v>130052.27423098464</v>
      </c>
      <c r="W88" s="50">
        <f>V46</f>
        <v>133060.28316435497</v>
      </c>
      <c r="X88" s="50">
        <f>W46</f>
        <v>136068.29209772532</v>
      </c>
      <c r="Y88" s="50">
        <f>X46</f>
        <v>139076.30103109567</v>
      </c>
      <c r="Z88" s="50">
        <f>Y46</f>
        <v>142084.30996446603</v>
      </c>
      <c r="AA88" s="50">
        <f>Z46</f>
        <v>145092.31889783638</v>
      </c>
      <c r="AB88" s="50">
        <f>O46</f>
        <v>112004.22063076255</v>
      </c>
      <c r="AC88" s="50">
        <f>AB46</f>
        <v>148100.32783120673</v>
      </c>
      <c r="AD88" s="50">
        <f>AC46</f>
        <v>151516.03083167243</v>
      </c>
      <c r="AE88" s="50">
        <f>AD46</f>
        <v>154931.73383213815</v>
      </c>
      <c r="AF88" s="50">
        <f>AE46</f>
        <v>158347.43683260385</v>
      </c>
      <c r="AG88" s="50">
        <f>AF46</f>
        <v>161763.13983306955</v>
      </c>
      <c r="AH88" s="50">
        <f>AG46</f>
        <v>165178.84283353528</v>
      </c>
      <c r="AI88" s="50">
        <f>AH46</f>
        <v>168594.54583400098</v>
      </c>
      <c r="AJ88" s="50">
        <f>AI46</f>
        <v>172010.24883446668</v>
      </c>
      <c r="AK88" s="50">
        <f>AJ46</f>
        <v>175425.95183493241</v>
      </c>
      <c r="AL88" s="50">
        <f>AK46</f>
        <v>178841.65483539811</v>
      </c>
      <c r="AM88" s="50">
        <f>AL46</f>
        <v>182257.3578358638</v>
      </c>
      <c r="AN88" s="50">
        <f>AM46</f>
        <v>185673.06083632953</v>
      </c>
      <c r="AO88" s="50">
        <f>AB46</f>
        <v>148100.32783120673</v>
      </c>
      <c r="AP88" s="50">
        <f>AO46</f>
        <v>189088.76383679523</v>
      </c>
      <c r="AQ88" s="50">
        <f>AP46</f>
        <v>192913.03868897358</v>
      </c>
      <c r="AR88" s="50">
        <f>AQ46</f>
        <v>196737.31354115196</v>
      </c>
      <c r="AS88" s="50">
        <f>AR46</f>
        <v>200561.58839333031</v>
      </c>
      <c r="AT88" s="50">
        <f>AS46</f>
        <v>204385.86324550869</v>
      </c>
      <c r="AU88" s="50">
        <f>AT46</f>
        <v>208210.13809768704</v>
      </c>
      <c r="AV88" s="50">
        <f>AU46</f>
        <v>212034.41294986539</v>
      </c>
      <c r="AW88" s="50">
        <f>AV46</f>
        <v>215858.68780204377</v>
      </c>
      <c r="AX88" s="50">
        <f>AW46</f>
        <v>219682.96265422212</v>
      </c>
      <c r="AY88" s="50">
        <f>AX46</f>
        <v>223507.2375064005</v>
      </c>
      <c r="AZ88" s="50">
        <f>AY46</f>
        <v>227331.51235857885</v>
      </c>
      <c r="BA88" s="50">
        <f>AZ46</f>
        <v>231155.78721075723</v>
      </c>
      <c r="BB88" s="50">
        <f>AO46</f>
        <v>189088.76383679523</v>
      </c>
      <c r="BC88" s="50">
        <f>BB46</f>
        <v>234980.06206293558</v>
      </c>
      <c r="BD88" s="50">
        <f>BC46</f>
        <v>239211.49234640502</v>
      </c>
      <c r="BE88" s="50">
        <f>BD46</f>
        <v>243442.92262987449</v>
      </c>
      <c r="BF88" s="50">
        <f>BE46</f>
        <v>247674.35291334393</v>
      </c>
      <c r="BG88" s="50">
        <f>BF46</f>
        <v>251905.7831968134</v>
      </c>
      <c r="BH88" s="50">
        <f>BG46</f>
        <v>256137.21348028284</v>
      </c>
      <c r="BI88" s="50">
        <f>BH46</f>
        <v>260368.6437637523</v>
      </c>
      <c r="BJ88" s="50">
        <f>BI46</f>
        <v>264600.07404722174</v>
      </c>
      <c r="BK88" s="50">
        <f>BJ46</f>
        <v>268831.50433069118</v>
      </c>
      <c r="BL88" s="50">
        <f>BK46</f>
        <v>273062.93461416062</v>
      </c>
      <c r="BM88" s="50">
        <f>BL46</f>
        <v>277294.36489763012</v>
      </c>
      <c r="BN88" s="50">
        <f>BM46</f>
        <v>281525.79518109956</v>
      </c>
      <c r="BO88" s="50">
        <f>BB46</f>
        <v>234980.06206293558</v>
      </c>
    </row>
    <row r="89" ht="15" customHeight="1">
      <c r="A89" s="60" t="inlineStr">
        <is>
          <t>Ending Cash</t>
        </is>
      </c>
      <c r="B89" s="52">
        <f>B88+B87</f>
        <v>30000</v>
      </c>
      <c r="C89" s="52">
        <f>C88+C87</f>
        <v>36833.410052563559</v>
      </c>
      <c r="D89" s="52">
        <f>D88+D87</f>
        <v>43667.120105127105</v>
      </c>
      <c r="E89" s="52">
        <f>E88+E87</f>
        <v>50500.830157690652</v>
      </c>
      <c r="F89" s="52">
        <f>F88+F87</f>
        <v>57334.540210254083</v>
      </c>
      <c r="G89" s="52">
        <f>G88+G87</f>
        <v>64168.250262817746</v>
      </c>
      <c r="H89" s="52">
        <f>H88+H87</f>
        <v>71001.960315381293</v>
      </c>
      <c r="I89" s="52">
        <f>I88+I87</f>
        <v>77835.67036794484</v>
      </c>
      <c r="J89" s="52">
        <f>J88+J87</f>
        <v>84669.380420508387</v>
      </c>
      <c r="K89" s="52">
        <f>K88+K87</f>
        <v>91503.090473071818</v>
      </c>
      <c r="L89" s="52">
        <f>L88+L87</f>
        <v>98336.800525635481</v>
      </c>
      <c r="M89" s="52">
        <f>M88+M87</f>
        <v>105170.51057819901</v>
      </c>
      <c r="N89" s="52">
        <f>N88+N87</f>
        <v>112004.22063076256</v>
      </c>
      <c r="O89" s="52">
        <f>O88+O87</f>
        <v>112004.22063076253</v>
      </c>
      <c r="P89" s="52">
        <f>P88+P87</f>
        <v>115012.22956413284</v>
      </c>
      <c r="Q89" s="52">
        <f>Q88+Q87</f>
        <v>118020.23849750331</v>
      </c>
      <c r="R89" s="52">
        <f>R88+R87</f>
        <v>121028.2474308736</v>
      </c>
      <c r="S89" s="52">
        <f>S88+S87</f>
        <v>124036.25636424395</v>
      </c>
      <c r="T89" s="52">
        <f>T88+T87</f>
        <v>127044.26529761429</v>
      </c>
      <c r="U89" s="52">
        <f>U88+U87</f>
        <v>130052.27423098464</v>
      </c>
      <c r="V89" s="52">
        <f>V88+V87</f>
        <v>133060.28316435494</v>
      </c>
      <c r="W89" s="52">
        <f>W88+W87</f>
        <v>136068.29209772532</v>
      </c>
      <c r="X89" s="52">
        <f>X88+X87</f>
        <v>139076.30103109567</v>
      </c>
      <c r="Y89" s="52">
        <f>Y88+Y87</f>
        <v>142084.30996446603</v>
      </c>
      <c r="Z89" s="52">
        <f>Z88+Z87</f>
        <v>145092.31889783638</v>
      </c>
      <c r="AA89" s="52">
        <f>AA88+AA87</f>
        <v>148100.32783120673</v>
      </c>
      <c r="AB89" s="52">
        <f>AB88+AB87</f>
        <v>148100.32783120673</v>
      </c>
      <c r="AC89" s="52">
        <f>AC88+AC87</f>
        <v>151516.03083167245</v>
      </c>
      <c r="AD89" s="52">
        <f>AD88+AD87</f>
        <v>154931.73383213815</v>
      </c>
      <c r="AE89" s="52">
        <f>AE88+AE87</f>
        <v>158347.43683260382</v>
      </c>
      <c r="AF89" s="52">
        <f>AF88+AF87</f>
        <v>161763.13983306958</v>
      </c>
      <c r="AG89" s="52">
        <f>AG88+AG87</f>
        <v>165178.84283353528</v>
      </c>
      <c r="AH89" s="52">
        <f>AH88+AH87</f>
        <v>168594.54583400101</v>
      </c>
      <c r="AI89" s="52">
        <f>AI88+AI87</f>
        <v>172010.24883446671</v>
      </c>
      <c r="AJ89" s="52">
        <f>AJ88+AJ87</f>
        <v>175425.95183493241</v>
      </c>
      <c r="AK89" s="52">
        <f>AK88+AK87</f>
        <v>178841.65483539813</v>
      </c>
      <c r="AL89" s="52">
        <f>AL88+AL87</f>
        <v>182257.35783586378</v>
      </c>
      <c r="AM89" s="52">
        <f>AM88+AM87</f>
        <v>185673.06083632953</v>
      </c>
      <c r="AN89" s="52">
        <f>AN88+AN87</f>
        <v>189088.76383679526</v>
      </c>
      <c r="AO89" s="52">
        <f>AO88+AO87</f>
        <v>189088.76383679523</v>
      </c>
      <c r="AP89" s="52">
        <f>AP88+AP87</f>
        <v>192913.03868897358</v>
      </c>
      <c r="AQ89" s="52">
        <f>AQ88+AQ87</f>
        <v>196737.31354115193</v>
      </c>
      <c r="AR89" s="52">
        <f>AR88+AR87</f>
        <v>200561.58839333037</v>
      </c>
      <c r="AS89" s="52">
        <f>AS88+AS87</f>
        <v>204385.86324550866</v>
      </c>
      <c r="AT89" s="52">
        <f>AT88+AT87</f>
        <v>208210.13809768704</v>
      </c>
      <c r="AU89" s="52">
        <f>AU88+AU87</f>
        <v>212034.41294986539</v>
      </c>
      <c r="AV89" s="52">
        <f>AV88+AV87</f>
        <v>215858.68780204374</v>
      </c>
      <c r="AW89" s="52">
        <f>AW88+AW87</f>
        <v>219682.96265422212</v>
      </c>
      <c r="AX89" s="52">
        <f>AX88+AX87</f>
        <v>223507.23750640047</v>
      </c>
      <c r="AY89" s="52">
        <f>AY88+AY87</f>
        <v>227331.51235857891</v>
      </c>
      <c r="AZ89" s="52">
        <f>AZ88+AZ87</f>
        <v>231155.7872107572</v>
      </c>
      <c r="BA89" s="52">
        <f>BA88+BA87</f>
        <v>234980.06206293558</v>
      </c>
      <c r="BB89" s="52">
        <f>BB88+BB87</f>
        <v>234980.06206293555</v>
      </c>
      <c r="BC89" s="52">
        <f>BC88+BC87</f>
        <v>239211.49234640505</v>
      </c>
      <c r="BD89" s="52">
        <f>BD88+BD87</f>
        <v>243442.92262987449</v>
      </c>
      <c r="BE89" s="52">
        <f>BE88+BE87</f>
        <v>247674.35291334393</v>
      </c>
      <c r="BF89" s="52">
        <f>BF88+BF87</f>
        <v>251905.78319681337</v>
      </c>
      <c r="BG89" s="52">
        <f>BG88+BG87</f>
        <v>256137.21348028287</v>
      </c>
      <c r="BH89" s="52">
        <f>BH88+BH87</f>
        <v>260368.64376375225</v>
      </c>
      <c r="BI89" s="52">
        <f>BI88+BI87</f>
        <v>264600.07404722174</v>
      </c>
      <c r="BJ89" s="52">
        <f>BJ88+BJ87</f>
        <v>268831.50433069118</v>
      </c>
      <c r="BK89" s="52">
        <f>BK88+BK87</f>
        <v>273062.93461416062</v>
      </c>
      <c r="BL89" s="52">
        <f>BL88+BL87</f>
        <v>277294.36489763006</v>
      </c>
      <c r="BM89" s="52">
        <f>BM88+BM87</f>
        <v>281525.79518109956</v>
      </c>
      <c r="BN89" s="52">
        <f>BN88+BN87</f>
        <v>285757.225464569</v>
      </c>
      <c r="BO89" s="52">
        <f>BO88+BO87</f>
        <v>285757.225464569</v>
      </c>
    </row>
    <row r="90" ht="15" customHeight="1">
      <c r="A90" s="49" t="inlineStr">
        <is>
          <t>Cash per Balance Sheet</t>
        </is>
      </c>
      <c r="B90" s="50">
        <f>B46</f>
        <v>29999.700000000001</v>
      </c>
      <c r="C90" s="50">
        <f>C46</f>
        <v>36833.410052563544</v>
      </c>
      <c r="D90" s="50">
        <f>D46</f>
        <v>43667.120105127091</v>
      </c>
      <c r="E90" s="50">
        <f>E46</f>
        <v>50500.830157690638</v>
      </c>
      <c r="F90" s="50">
        <f>F46</f>
        <v>57334.540210254185</v>
      </c>
      <c r="G90" s="50">
        <f>G46</f>
        <v>64168.250262817732</v>
      </c>
      <c r="H90" s="50">
        <f>H46</f>
        <v>71001.960315381279</v>
      </c>
      <c r="I90" s="50">
        <f>I46</f>
        <v>77835.670367944826</v>
      </c>
      <c r="J90" s="50">
        <f>J46</f>
        <v>84669.380420508372</v>
      </c>
      <c r="K90" s="50">
        <f>K46</f>
        <v>91503.090473071919</v>
      </c>
      <c r="L90" s="50">
        <f>L46</f>
        <v>98336.800525635452</v>
      </c>
      <c r="M90" s="50">
        <f>M46</f>
        <v>105170.510578199</v>
      </c>
      <c r="N90" s="50">
        <f>N46</f>
        <v>112004.22063076255</v>
      </c>
      <c r="O90" s="50">
        <f>O46</f>
        <v>112004.22063076255</v>
      </c>
      <c r="P90" s="50">
        <f>P46</f>
        <v>115012.2295641329</v>
      </c>
      <c r="Q90" s="50">
        <f>Q46</f>
        <v>118020.23849750325</v>
      </c>
      <c r="R90" s="50">
        <f>R46</f>
        <v>121028.2474308736</v>
      </c>
      <c r="S90" s="50">
        <f>S46</f>
        <v>124036.25636424393</v>
      </c>
      <c r="T90" s="50">
        <f>T46</f>
        <v>127044.26529761429</v>
      </c>
      <c r="U90" s="50">
        <f>U46</f>
        <v>130052.27423098464</v>
      </c>
      <c r="V90" s="50">
        <f>V46</f>
        <v>133060.28316435497</v>
      </c>
      <c r="W90" s="50">
        <f>W46</f>
        <v>136068.29209772532</v>
      </c>
      <c r="X90" s="50">
        <f>X46</f>
        <v>139076.30103109567</v>
      </c>
      <c r="Y90" s="50">
        <f>Y46</f>
        <v>142084.30996446603</v>
      </c>
      <c r="Z90" s="50">
        <f>Z46</f>
        <v>145092.31889783638</v>
      </c>
      <c r="AA90" s="50">
        <f>AA46</f>
        <v>148100.32783120673</v>
      </c>
      <c r="AB90" s="50">
        <f>AB46</f>
        <v>148100.32783120673</v>
      </c>
      <c r="AC90" s="50">
        <f>AC46</f>
        <v>151516.03083167243</v>
      </c>
      <c r="AD90" s="50">
        <f>AD46</f>
        <v>154931.73383213815</v>
      </c>
      <c r="AE90" s="50">
        <f>AE46</f>
        <v>158347.43683260385</v>
      </c>
      <c r="AF90" s="50">
        <f>AF46</f>
        <v>161763.13983306955</v>
      </c>
      <c r="AG90" s="50">
        <f>AG46</f>
        <v>165178.84283353528</v>
      </c>
      <c r="AH90" s="50">
        <f>AH46</f>
        <v>168594.54583400098</v>
      </c>
      <c r="AI90" s="50">
        <f>AI46</f>
        <v>172010.24883446668</v>
      </c>
      <c r="AJ90" s="50">
        <f>AJ46</f>
        <v>175425.95183493241</v>
      </c>
      <c r="AK90" s="50">
        <f>AK46</f>
        <v>178841.65483539811</v>
      </c>
      <c r="AL90" s="50">
        <f>AL46</f>
        <v>182257.3578358638</v>
      </c>
      <c r="AM90" s="50">
        <f>AM46</f>
        <v>185673.06083632953</v>
      </c>
      <c r="AN90" s="50">
        <f>AN46</f>
        <v>189088.76383679523</v>
      </c>
      <c r="AO90" s="50">
        <f>AO46</f>
        <v>189088.76383679523</v>
      </c>
      <c r="AP90" s="50">
        <f>AP46</f>
        <v>192913.03868897358</v>
      </c>
      <c r="AQ90" s="50">
        <f>AQ46</f>
        <v>196737.31354115196</v>
      </c>
      <c r="AR90" s="50">
        <f>AR46</f>
        <v>200561.58839333031</v>
      </c>
      <c r="AS90" s="50">
        <f>AS46</f>
        <v>204385.86324550869</v>
      </c>
      <c r="AT90" s="50">
        <f>AT46</f>
        <v>208210.13809768704</v>
      </c>
      <c r="AU90" s="50">
        <f>AU46</f>
        <v>212034.41294986539</v>
      </c>
      <c r="AV90" s="50">
        <f>AV46</f>
        <v>215858.68780204377</v>
      </c>
      <c r="AW90" s="50">
        <f>AW46</f>
        <v>219682.96265422212</v>
      </c>
      <c r="AX90" s="50">
        <f>AX46</f>
        <v>223507.2375064005</v>
      </c>
      <c r="AY90" s="50">
        <f>AY46</f>
        <v>227331.51235857885</v>
      </c>
      <c r="AZ90" s="50">
        <f>AZ46</f>
        <v>231155.78721075723</v>
      </c>
      <c r="BA90" s="50">
        <f>BA46</f>
        <v>234980.06206293558</v>
      </c>
      <c r="BB90" s="50">
        <f>BB46</f>
        <v>234980.06206293558</v>
      </c>
      <c r="BC90" s="50">
        <f>BC46</f>
        <v>239211.49234640502</v>
      </c>
      <c r="BD90" s="50">
        <f>BD46</f>
        <v>243442.92262987449</v>
      </c>
      <c r="BE90" s="50">
        <f>BE46</f>
        <v>247674.35291334393</v>
      </c>
      <c r="BF90" s="50">
        <f>BF46</f>
        <v>251905.7831968134</v>
      </c>
      <c r="BG90" s="50">
        <f>BG46</f>
        <v>256137.21348028284</v>
      </c>
      <c r="BH90" s="50">
        <f>BH46</f>
        <v>260368.6437637523</v>
      </c>
      <c r="BI90" s="50">
        <f>BI46</f>
        <v>264600.07404722174</v>
      </c>
      <c r="BJ90" s="50">
        <f>BJ46</f>
        <v>268831.50433069118</v>
      </c>
      <c r="BK90" s="50">
        <f>BK46</f>
        <v>273062.93461416062</v>
      </c>
      <c r="BL90" s="50">
        <f>BL46</f>
        <v>277294.36489763012</v>
      </c>
      <c r="BM90" s="50">
        <f>BM46</f>
        <v>281525.79518109956</v>
      </c>
      <c r="BN90" s="50">
        <f>BN46</f>
        <v>285757.225464569</v>
      </c>
      <c r="BO90" s="50">
        <f>BO46</f>
        <v>285757.225464569</v>
      </c>
    </row>
    <row r="91" ht="15" customHeight="1">
      <c r="A91" s="49" t="inlineStr">
        <is>
          <t>Check: Ending Cash less Cash per Balance Sheet</t>
        </is>
      </c>
      <c r="B91" s="77">
        <f>B89-B90</f>
        <v>0.2999999999992724</v>
      </c>
      <c r="C91" s="77">
        <f>C89-C90</f>
        <v>1.4551915228366852e-11</v>
      </c>
      <c r="D91" s="77">
        <f>D89-D90</f>
        <v>1.4551915228366852e-11</v>
      </c>
      <c r="E91" s="77">
        <f>E89-E90</f>
        <v>1.4551915228366852e-11</v>
      </c>
      <c r="F91" s="77">
        <f>F89-F90</f>
        <v>-1.0186340659856796e-10</v>
      </c>
      <c r="G91" s="77">
        <f>G89-G90</f>
        <v>1.4551915228366852e-11</v>
      </c>
      <c r="H91" s="77">
        <f>H89-H90</f>
        <v>1.4551915228366852e-11</v>
      </c>
      <c r="I91" s="77">
        <f>I89-I90</f>
        <v>1.4551915228366852e-11</v>
      </c>
      <c r="J91" s="77">
        <f>J89-J90</f>
        <v>1.4551915228366852e-11</v>
      </c>
      <c r="K91" s="77">
        <f>K89-K90</f>
        <v>-1.0186340659856796e-10</v>
      </c>
      <c r="L91" s="77">
        <f>L89-L90</f>
        <v>2.9103830456733704e-11</v>
      </c>
      <c r="M91" s="77">
        <f>M89-M90</f>
        <v>1.4551915228366852e-11</v>
      </c>
      <c r="N91" s="77">
        <f>N89-N90</f>
        <v>1.4551915228366852e-11</v>
      </c>
      <c r="O91" s="77">
        <f>O89-O90</f>
        <v>-1.4551915228366852e-11</v>
      </c>
      <c r="P91" s="77">
        <f>P89-P90</f>
        <v>-5.8207660913467407e-11</v>
      </c>
      <c r="Q91" s="77">
        <f>Q89-Q90</f>
        <v>5.8207660913467407e-11</v>
      </c>
      <c r="R91" s="77">
        <f>R89-R90</f>
        <v>0</v>
      </c>
      <c r="S91" s="77">
        <f>S89-S90</f>
        <v>1.4551915228366852e-11</v>
      </c>
      <c r="T91" s="77">
        <f>T89-T90</f>
        <v>0</v>
      </c>
      <c r="U91" s="77">
        <f>U89-U90</f>
        <v>0</v>
      </c>
      <c r="V91" s="77">
        <f>V89-V90</f>
        <v>-2.9103830456733704e-11</v>
      </c>
      <c r="W91" s="77">
        <f>W89-W90</f>
        <v>0</v>
      </c>
      <c r="X91" s="77">
        <f>X89-X90</f>
        <v>0</v>
      </c>
      <c r="Y91" s="77">
        <f>Y89-Y90</f>
        <v>0</v>
      </c>
      <c r="Z91" s="77">
        <f>Z89-Z90</f>
        <v>0</v>
      </c>
      <c r="AA91" s="77">
        <f>AA89-AA90</f>
        <v>0</v>
      </c>
      <c r="AB91" s="77">
        <f>AB89-AB90</f>
        <v>0</v>
      </c>
      <c r="AC91" s="77">
        <f>AC89-AC90</f>
        <v>2.9103830456733704e-11</v>
      </c>
      <c r="AD91" s="77">
        <f>AD89-AD90</f>
        <v>0</v>
      </c>
      <c r="AE91" s="77">
        <f>AE89-AE90</f>
        <v>-2.9103830456733704e-11</v>
      </c>
      <c r="AF91" s="77">
        <f>AF89-AF90</f>
        <v>2.9103830456733704e-11</v>
      </c>
      <c r="AG91" s="77">
        <f>AG89-AG90</f>
        <v>0</v>
      </c>
      <c r="AH91" s="77">
        <f>AH89-AH90</f>
        <v>2.9103830456733704e-11</v>
      </c>
      <c r="AI91" s="77">
        <f>AI89-AI90</f>
        <v>2.9103830456733704e-11</v>
      </c>
      <c r="AJ91" s="77">
        <f>AJ89-AJ90</f>
        <v>0</v>
      </c>
      <c r="AK91" s="77">
        <f>AK89-AK90</f>
        <v>2.9103830456733704e-11</v>
      </c>
      <c r="AL91" s="77">
        <f>AL89-AL90</f>
        <v>-2.9103830456733704e-11</v>
      </c>
      <c r="AM91" s="77">
        <f>AM89-AM90</f>
        <v>0</v>
      </c>
      <c r="AN91" s="77">
        <f>AN89-AN90</f>
        <v>2.9103830456733704e-11</v>
      </c>
      <c r="AO91" s="77">
        <f>AO89-AO90</f>
        <v>0</v>
      </c>
      <c r="AP91" s="77">
        <f>AP89-AP90</f>
        <v>0</v>
      </c>
      <c r="AQ91" s="77">
        <f>AQ89-AQ90</f>
        <v>-2.9103830456733704e-11</v>
      </c>
      <c r="AR91" s="77">
        <f>AR89-AR90</f>
        <v>5.8207660913467407e-11</v>
      </c>
      <c r="AS91" s="77">
        <f>AS89-AS90</f>
        <v>-2.9103830456733704e-11</v>
      </c>
      <c r="AT91" s="77">
        <f>AT89-AT90</f>
        <v>0</v>
      </c>
      <c r="AU91" s="77">
        <f>AU89-AU90</f>
        <v>0</v>
      </c>
      <c r="AV91" s="77">
        <f>AV89-AV90</f>
        <v>-2.9103830456733704e-11</v>
      </c>
      <c r="AW91" s="77">
        <f>AW89-AW90</f>
        <v>0</v>
      </c>
      <c r="AX91" s="77">
        <f>AX89-AX90</f>
        <v>-2.9103830456733704e-11</v>
      </c>
      <c r="AY91" s="77">
        <f>AY89-AY90</f>
        <v>5.8207660913467407e-11</v>
      </c>
      <c r="AZ91" s="77">
        <f>AZ89-AZ90</f>
        <v>-2.9103830456733704e-11</v>
      </c>
      <c r="BA91" s="77">
        <f>BA89-BA90</f>
        <v>0</v>
      </c>
      <c r="BB91" s="77">
        <f>BB89-BB90</f>
        <v>-2.9103830456733704e-11</v>
      </c>
      <c r="BC91" s="77">
        <f>BC89-BC90</f>
        <v>2.9103830456733704e-11</v>
      </c>
      <c r="BD91" s="77">
        <f>BD89-BD90</f>
        <v>0</v>
      </c>
      <c r="BE91" s="77">
        <f>BE89-BE90</f>
        <v>0</v>
      </c>
      <c r="BF91" s="77">
        <f>BF89-BF90</f>
        <v>-2.9103830456733704e-11</v>
      </c>
      <c r="BG91" s="77">
        <f>BG89-BG90</f>
        <v>2.9103830456733704e-11</v>
      </c>
      <c r="BH91" s="77">
        <f>BH89-BH90</f>
        <v>-5.8207660913467407e-11</v>
      </c>
      <c r="BI91" s="77">
        <f>BI89-BI90</f>
        <v>0</v>
      </c>
      <c r="BJ91" s="77">
        <f>BJ89-BJ90</f>
        <v>0</v>
      </c>
      <c r="BK91" s="77">
        <f>BK89-BK90</f>
        <v>0</v>
      </c>
      <c r="BL91" s="77">
        <f>BL89-BL90</f>
        <v>-5.8207660913467407e-11</v>
      </c>
      <c r="BM91" s="77">
        <f>BM89-BM90</f>
        <v>0</v>
      </c>
      <c r="BN91" s="77">
        <f>BN89-BN90</f>
        <v>0</v>
      </c>
      <c r="BO91" s="77">
        <f>BO89-BO90</f>
        <v>0</v>
      </c>
    </row>
    <row r="92"/>
    <row r="93"/>
    <row r="94" ht="15" customHeight="1">
      <c r="A94" s="46" t="inlineStr">
        <is>
          <t>SUPPORTING SCHEDULES</t>
        </is>
      </c>
      <c r="B94" s="46" t="n"/>
      <c r="C94" s="46" t="n"/>
      <c r="D94" s="46" t="n"/>
      <c r="E94" s="46" t="n"/>
      <c r="F94" s="46" t="n"/>
      <c r="G94" s="46" t="n"/>
    </row>
    <row r="95" ht="15" customHeight="1">
      <c r="A95" s="44" t="inlineStr">
        <is>
          <t>Schedule 1 — Labor (Direct &amp; Indirect)</t>
        </is>
      </c>
    </row>
    <row r="96" ht="15" customHeight="1">
      <c r="A96" s="47" t="n"/>
      <c r="C96" s="48" t="inlineStr">
        <is>
          <t>M1</t>
        </is>
      </c>
      <c r="D96" s="48" t="inlineStr">
        <is>
          <t>M2</t>
        </is>
      </c>
      <c r="E96" s="48" t="inlineStr">
        <is>
          <t>M3</t>
        </is>
      </c>
      <c r="F96" s="48" t="inlineStr">
        <is>
          <t>M4</t>
        </is>
      </c>
      <c r="G96" s="48" t="inlineStr">
        <is>
          <t>M5</t>
        </is>
      </c>
      <c r="H96" s="48" t="inlineStr">
        <is>
          <t>M6</t>
        </is>
      </c>
      <c r="I96" s="48" t="inlineStr">
        <is>
          <t>M7</t>
        </is>
      </c>
      <c r="J96" s="48" t="inlineStr">
        <is>
          <t>M8</t>
        </is>
      </c>
      <c r="K96" s="48" t="inlineStr">
        <is>
          <t>M9</t>
        </is>
      </c>
      <c r="L96" s="48" t="inlineStr">
        <is>
          <t>M10</t>
        </is>
      </c>
      <c r="M96" s="48" t="inlineStr">
        <is>
          <t>M11</t>
        </is>
      </c>
      <c r="N96" s="48" t="inlineStr">
        <is>
          <t>M12</t>
        </is>
      </c>
      <c r="O96" s="48" t="inlineStr">
        <is>
          <t>Year 1</t>
        </is>
      </c>
      <c r="P96" s="48" t="inlineStr">
        <is>
          <t>M1</t>
        </is>
      </c>
      <c r="Q96" s="48" t="inlineStr">
        <is>
          <t>M2</t>
        </is>
      </c>
      <c r="R96" s="48" t="inlineStr">
        <is>
          <t>M3</t>
        </is>
      </c>
      <c r="S96" s="48" t="inlineStr">
        <is>
          <t>M4</t>
        </is>
      </c>
      <c r="T96" s="48" t="inlineStr">
        <is>
          <t>M5</t>
        </is>
      </c>
      <c r="U96" s="48" t="inlineStr">
        <is>
          <t>M6</t>
        </is>
      </c>
      <c r="V96" s="48" t="inlineStr">
        <is>
          <t>M7</t>
        </is>
      </c>
      <c r="W96" s="48" t="inlineStr">
        <is>
          <t>M8</t>
        </is>
      </c>
      <c r="X96" s="48" t="inlineStr">
        <is>
          <t>M9</t>
        </is>
      </c>
      <c r="Y96" s="48" t="inlineStr">
        <is>
          <t>M10</t>
        </is>
      </c>
      <c r="Z96" s="48" t="inlineStr">
        <is>
          <t>M11</t>
        </is>
      </c>
      <c r="AA96" s="48" t="inlineStr">
        <is>
          <t>M12</t>
        </is>
      </c>
      <c r="AB96" s="48" t="inlineStr">
        <is>
          <t>Year 2</t>
        </is>
      </c>
      <c r="AC96" s="48" t="inlineStr">
        <is>
          <t>M1</t>
        </is>
      </c>
      <c r="AD96" s="48" t="inlineStr">
        <is>
          <t>M2</t>
        </is>
      </c>
      <c r="AE96" s="48" t="inlineStr">
        <is>
          <t>M3</t>
        </is>
      </c>
      <c r="AF96" s="48" t="inlineStr">
        <is>
          <t>M4</t>
        </is>
      </c>
      <c r="AG96" s="48" t="inlineStr">
        <is>
          <t>M5</t>
        </is>
      </c>
      <c r="AH96" s="48" t="inlineStr">
        <is>
          <t>M6</t>
        </is>
      </c>
      <c r="AI96" s="48" t="inlineStr">
        <is>
          <t>M7</t>
        </is>
      </c>
      <c r="AJ96" s="48" t="inlineStr">
        <is>
          <t>M8</t>
        </is>
      </c>
      <c r="AK96" s="48" t="inlineStr">
        <is>
          <t>M9</t>
        </is>
      </c>
      <c r="AL96" s="48" t="inlineStr">
        <is>
          <t>M10</t>
        </is>
      </c>
      <c r="AM96" s="48" t="inlineStr">
        <is>
          <t>M11</t>
        </is>
      </c>
      <c r="AN96" s="48" t="inlineStr">
        <is>
          <t>M12</t>
        </is>
      </c>
      <c r="AO96" s="48" t="inlineStr">
        <is>
          <t>Year 3</t>
        </is>
      </c>
      <c r="AP96" s="48" t="inlineStr">
        <is>
          <t>M1</t>
        </is>
      </c>
      <c r="AQ96" s="48" t="inlineStr">
        <is>
          <t>M2</t>
        </is>
      </c>
      <c r="AR96" s="48" t="inlineStr">
        <is>
          <t>M3</t>
        </is>
      </c>
      <c r="AS96" s="48" t="inlineStr">
        <is>
          <t>M4</t>
        </is>
      </c>
      <c r="AT96" s="48" t="inlineStr">
        <is>
          <t>M5</t>
        </is>
      </c>
      <c r="AU96" s="48" t="inlineStr">
        <is>
          <t>M6</t>
        </is>
      </c>
      <c r="AV96" s="48" t="inlineStr">
        <is>
          <t>M7</t>
        </is>
      </c>
      <c r="AW96" s="48" t="inlineStr">
        <is>
          <t>M8</t>
        </is>
      </c>
      <c r="AX96" s="48" t="inlineStr">
        <is>
          <t>M9</t>
        </is>
      </c>
      <c r="AY96" s="48" t="inlineStr">
        <is>
          <t>M10</t>
        </is>
      </c>
      <c r="AZ96" s="48" t="inlineStr">
        <is>
          <t>M11</t>
        </is>
      </c>
      <c r="BA96" s="48" t="inlineStr">
        <is>
          <t>M12</t>
        </is>
      </c>
      <c r="BB96" s="48" t="inlineStr">
        <is>
          <t>Year 4</t>
        </is>
      </c>
      <c r="BC96" s="48" t="inlineStr">
        <is>
          <t>M1</t>
        </is>
      </c>
      <c r="BD96" s="48" t="inlineStr">
        <is>
          <t>M2</t>
        </is>
      </c>
      <c r="BE96" s="48" t="inlineStr">
        <is>
          <t>M3</t>
        </is>
      </c>
      <c r="BF96" s="48" t="inlineStr">
        <is>
          <t>M4</t>
        </is>
      </c>
      <c r="BG96" s="48" t="inlineStr">
        <is>
          <t>M5</t>
        </is>
      </c>
      <c r="BH96" s="48" t="inlineStr">
        <is>
          <t>M6</t>
        </is>
      </c>
      <c r="BI96" s="48" t="inlineStr">
        <is>
          <t>M7</t>
        </is>
      </c>
      <c r="BJ96" s="48" t="inlineStr">
        <is>
          <t>M8</t>
        </is>
      </c>
      <c r="BK96" s="48" t="inlineStr">
        <is>
          <t>M9</t>
        </is>
      </c>
      <c r="BL96" s="48" t="inlineStr">
        <is>
          <t>M10</t>
        </is>
      </c>
      <c r="BM96" s="48" t="inlineStr">
        <is>
          <t>M11</t>
        </is>
      </c>
      <c r="BN96" s="48" t="inlineStr">
        <is>
          <t>M12</t>
        </is>
      </c>
      <c r="BO96" s="48" t="inlineStr">
        <is>
          <t>Year 5</t>
        </is>
      </c>
    </row>
    <row r="97" ht="15" customHeight="1">
      <c r="A97" s="49" t="inlineStr">
        <is>
          <t>Direct Labor (Contractors)</t>
        </is>
      </c>
      <c r="C97" s="50">
        <f>C9</f>
        <v>25248.085698458337</v>
      </c>
      <c r="D97" s="50">
        <f>D9</f>
        <v>25248.085698458337</v>
      </c>
      <c r="E97" s="50">
        <f>E9</f>
        <v>25248.085698458337</v>
      </c>
      <c r="F97" s="50">
        <f>F9</f>
        <v>25248.085698458337</v>
      </c>
      <c r="G97" s="50">
        <f>G9</f>
        <v>25248.085698458337</v>
      </c>
      <c r="H97" s="50">
        <f>H9</f>
        <v>25248.085698458337</v>
      </c>
      <c r="I97" s="50">
        <f>I9</f>
        <v>25248.085698458337</v>
      </c>
      <c r="J97" s="50">
        <f>J9</f>
        <v>25248.085698458337</v>
      </c>
      <c r="K97" s="50">
        <f>K9</f>
        <v>25248.085698458337</v>
      </c>
      <c r="L97" s="50">
        <f>L9</f>
        <v>25248.085698458337</v>
      </c>
      <c r="M97" s="50">
        <f>M9</f>
        <v>25248.085698458337</v>
      </c>
      <c r="N97" s="50">
        <f>N9</f>
        <v>25248.085698458337</v>
      </c>
      <c r="O97" s="50">
        <f>O9</f>
        <v>302977.02838149999</v>
      </c>
      <c r="P97" s="50">
        <f>P9</f>
        <v>31102.437235833328</v>
      </c>
      <c r="Q97" s="50">
        <f>Q9</f>
        <v>31102.437235833328</v>
      </c>
      <c r="R97" s="50">
        <f>R9</f>
        <v>31102.437235833328</v>
      </c>
      <c r="S97" s="50">
        <f>S9</f>
        <v>31102.437235833328</v>
      </c>
      <c r="T97" s="50">
        <f>T9</f>
        <v>31102.437235833328</v>
      </c>
      <c r="U97" s="50">
        <f>U9</f>
        <v>31102.437235833328</v>
      </c>
      <c r="V97" s="50">
        <f>V9</f>
        <v>31102.437235833328</v>
      </c>
      <c r="W97" s="50">
        <f>W9</f>
        <v>31102.437235833328</v>
      </c>
      <c r="X97" s="50">
        <f>X9</f>
        <v>31102.437235833328</v>
      </c>
      <c r="Y97" s="50">
        <f>Y9</f>
        <v>31102.437235833328</v>
      </c>
      <c r="Z97" s="50">
        <f>Z9</f>
        <v>31102.437235833328</v>
      </c>
      <c r="AA97" s="50">
        <f>AA9</f>
        <v>31102.437235833328</v>
      </c>
      <c r="AB97" s="50">
        <f>AB9</f>
        <v>373229.24682999996</v>
      </c>
      <c r="AC97" s="50">
        <f>AC9</f>
        <v>32502.046911445828</v>
      </c>
      <c r="AD97" s="50">
        <f>AD9</f>
        <v>32502.046911445828</v>
      </c>
      <c r="AE97" s="50">
        <f>AE9</f>
        <v>32502.046911445828</v>
      </c>
      <c r="AF97" s="50">
        <f>AF9</f>
        <v>32502.046911445828</v>
      </c>
      <c r="AG97" s="50">
        <f>AG9</f>
        <v>32502.046911445828</v>
      </c>
      <c r="AH97" s="50">
        <f>AH9</f>
        <v>32502.046911445828</v>
      </c>
      <c r="AI97" s="50">
        <f>AI9</f>
        <v>32502.046911445828</v>
      </c>
      <c r="AJ97" s="50">
        <f>AJ9</f>
        <v>32502.046911445828</v>
      </c>
      <c r="AK97" s="50">
        <f>AK9</f>
        <v>32502.046911445828</v>
      </c>
      <c r="AL97" s="50">
        <f>AL9</f>
        <v>32502.046911445828</v>
      </c>
      <c r="AM97" s="50">
        <f>AM9</f>
        <v>32502.046911445828</v>
      </c>
      <c r="AN97" s="50">
        <f>AN9</f>
        <v>32502.046911445828</v>
      </c>
      <c r="AO97" s="50">
        <f>AO9</f>
        <v>390024.56293734995</v>
      </c>
      <c r="AP97" s="50">
        <f>AP9</f>
        <v>33964.639022460884</v>
      </c>
      <c r="AQ97" s="50">
        <f>AQ9</f>
        <v>33964.639022460884</v>
      </c>
      <c r="AR97" s="50">
        <f>AR9</f>
        <v>33964.639022460884</v>
      </c>
      <c r="AS97" s="50">
        <f>AS9</f>
        <v>33964.639022460884</v>
      </c>
      <c r="AT97" s="50">
        <f>AT9</f>
        <v>33964.639022460884</v>
      </c>
      <c r="AU97" s="50">
        <f>AU9</f>
        <v>33964.639022460884</v>
      </c>
      <c r="AV97" s="50">
        <f>AV9</f>
        <v>33964.639022460884</v>
      </c>
      <c r="AW97" s="50">
        <f>AW9</f>
        <v>33964.639022460884</v>
      </c>
      <c r="AX97" s="50">
        <f>AX9</f>
        <v>33964.639022460884</v>
      </c>
      <c r="AY97" s="50">
        <f>AY9</f>
        <v>33964.639022460884</v>
      </c>
      <c r="AZ97" s="50">
        <f>AZ9</f>
        <v>33964.639022460884</v>
      </c>
      <c r="BA97" s="50">
        <f>BA9</f>
        <v>33964.639022460884</v>
      </c>
      <c r="BB97" s="50">
        <f>BB9</f>
        <v>407575.66826953064</v>
      </c>
      <c r="BC97" s="50">
        <f>BC9</f>
        <v>35493.047778471628</v>
      </c>
      <c r="BD97" s="50">
        <f>BD9</f>
        <v>35493.047778471628</v>
      </c>
      <c r="BE97" s="50">
        <f>BE9</f>
        <v>35493.047778471628</v>
      </c>
      <c r="BF97" s="50">
        <f>BF9</f>
        <v>35493.047778471628</v>
      </c>
      <c r="BG97" s="50">
        <f>BG9</f>
        <v>35493.047778471628</v>
      </c>
      <c r="BH97" s="50">
        <f>BH9</f>
        <v>35493.047778471628</v>
      </c>
      <c r="BI97" s="50">
        <f>BI9</f>
        <v>35493.047778471628</v>
      </c>
      <c r="BJ97" s="50">
        <f>BJ9</f>
        <v>35493.047778471628</v>
      </c>
      <c r="BK97" s="50">
        <f>BK9</f>
        <v>35493.047778471628</v>
      </c>
      <c r="BL97" s="50">
        <f>BL9</f>
        <v>35493.047778471628</v>
      </c>
      <c r="BM97" s="50">
        <f>BM9</f>
        <v>35493.047778471628</v>
      </c>
      <c r="BN97" s="50">
        <f>BN9</f>
        <v>35493.047778471628</v>
      </c>
      <c r="BO97" s="50">
        <f>BO9</f>
        <v>425916.5733416595</v>
      </c>
    </row>
    <row r="98" ht="15" customHeight="1">
      <c r="A98" s="49" t="inlineStr">
        <is>
          <t>Indirect Labor — Existing Team</t>
        </is>
      </c>
      <c r="C98" s="50">
        <f>C15</f>
        <v>20742.899024999995</v>
      </c>
      <c r="D98" s="50">
        <f>D15</f>
        <v>20742.899024999995</v>
      </c>
      <c r="E98" s="50">
        <f>E15</f>
        <v>20742.899024999995</v>
      </c>
      <c r="F98" s="50">
        <f>F15</f>
        <v>20742.899024999995</v>
      </c>
      <c r="G98" s="50">
        <f>G15</f>
        <v>20742.899024999995</v>
      </c>
      <c r="H98" s="50">
        <f>H15</f>
        <v>20742.899024999995</v>
      </c>
      <c r="I98" s="50">
        <f>I15</f>
        <v>20742.899024999995</v>
      </c>
      <c r="J98" s="50">
        <f>J15</f>
        <v>20742.899024999995</v>
      </c>
      <c r="K98" s="50">
        <f>K15</f>
        <v>20742.899024999995</v>
      </c>
      <c r="L98" s="50">
        <f>L15</f>
        <v>20742.899024999995</v>
      </c>
      <c r="M98" s="50">
        <f>M15</f>
        <v>20742.899024999995</v>
      </c>
      <c r="N98" s="50">
        <f>N15</f>
        <v>20742.899024999995</v>
      </c>
      <c r="O98" s="50">
        <f>O15</f>
        <v>248914.78829999993</v>
      </c>
      <c r="P98" s="50">
        <f>P15</f>
        <v>21468.900490874992</v>
      </c>
      <c r="Q98" s="50">
        <f>Q15</f>
        <v>21468.900490874992</v>
      </c>
      <c r="R98" s="50">
        <f>R15</f>
        <v>21468.900490874992</v>
      </c>
      <c r="S98" s="50">
        <f>S15</f>
        <v>21468.900490874992</v>
      </c>
      <c r="T98" s="50">
        <f>T15</f>
        <v>21468.900490874992</v>
      </c>
      <c r="U98" s="50">
        <f>U15</f>
        <v>21468.900490874992</v>
      </c>
      <c r="V98" s="50">
        <f>V15</f>
        <v>21468.900490874992</v>
      </c>
      <c r="W98" s="50">
        <f>W15</f>
        <v>21468.900490874992</v>
      </c>
      <c r="X98" s="50">
        <f>X15</f>
        <v>21468.900490874992</v>
      </c>
      <c r="Y98" s="50">
        <f>Y15</f>
        <v>21468.900490874992</v>
      </c>
      <c r="Z98" s="50">
        <f>Z15</f>
        <v>21468.900490874992</v>
      </c>
      <c r="AA98" s="50">
        <f>AA15</f>
        <v>21468.900490874992</v>
      </c>
      <c r="AB98" s="50">
        <f>AB15</f>
        <v>257626.80589049991</v>
      </c>
      <c r="AC98" s="50">
        <f>AC15</f>
        <v>22220.312008055615</v>
      </c>
      <c r="AD98" s="50">
        <f>AD15</f>
        <v>22220.312008055615</v>
      </c>
      <c r="AE98" s="50">
        <f>AE15</f>
        <v>22220.312008055615</v>
      </c>
      <c r="AF98" s="50">
        <f>AF15</f>
        <v>22220.312008055615</v>
      </c>
      <c r="AG98" s="50">
        <f>AG15</f>
        <v>22220.312008055615</v>
      </c>
      <c r="AH98" s="50">
        <f>AH15</f>
        <v>22220.312008055615</v>
      </c>
      <c r="AI98" s="50">
        <f>AI15</f>
        <v>22220.312008055615</v>
      </c>
      <c r="AJ98" s="50">
        <f>AJ15</f>
        <v>22220.312008055615</v>
      </c>
      <c r="AK98" s="50">
        <f>AK15</f>
        <v>22220.312008055615</v>
      </c>
      <c r="AL98" s="50">
        <f>AL15</f>
        <v>22220.312008055615</v>
      </c>
      <c r="AM98" s="50">
        <f>AM15</f>
        <v>22220.312008055615</v>
      </c>
      <c r="AN98" s="50">
        <f>AN15</f>
        <v>22220.312008055615</v>
      </c>
      <c r="AO98" s="50">
        <f>AO15</f>
        <v>266643.74409666739</v>
      </c>
      <c r="AP98" s="50">
        <f>AP15</f>
        <v>22998.022928337563</v>
      </c>
      <c r="AQ98" s="50">
        <f>AQ15</f>
        <v>22998.022928337563</v>
      </c>
      <c r="AR98" s="50">
        <f>AR15</f>
        <v>22998.022928337563</v>
      </c>
      <c r="AS98" s="50">
        <f>AS15</f>
        <v>22998.022928337563</v>
      </c>
      <c r="AT98" s="50">
        <f>AT15</f>
        <v>22998.022928337563</v>
      </c>
      <c r="AU98" s="50">
        <f>AU15</f>
        <v>22998.022928337563</v>
      </c>
      <c r="AV98" s="50">
        <f>AV15</f>
        <v>22998.022928337563</v>
      </c>
      <c r="AW98" s="50">
        <f>AW15</f>
        <v>22998.022928337563</v>
      </c>
      <c r="AX98" s="50">
        <f>AX15</f>
        <v>22998.022928337563</v>
      </c>
      <c r="AY98" s="50">
        <f>AY15</f>
        <v>22998.022928337563</v>
      </c>
      <c r="AZ98" s="50">
        <f>AZ15</f>
        <v>22998.022928337563</v>
      </c>
      <c r="BA98" s="50">
        <f>BA15</f>
        <v>22998.022928337563</v>
      </c>
      <c r="BB98" s="50">
        <f>BB15</f>
        <v>275976.27514005074</v>
      </c>
      <c r="BC98" s="50">
        <f>BC15</f>
        <v>23802.953730829377</v>
      </c>
      <c r="BD98" s="50">
        <f>BD15</f>
        <v>23802.953730829377</v>
      </c>
      <c r="BE98" s="50">
        <f>BE15</f>
        <v>23802.953730829377</v>
      </c>
      <c r="BF98" s="50">
        <f>BF15</f>
        <v>23802.953730829377</v>
      </c>
      <c r="BG98" s="50">
        <f>BG15</f>
        <v>23802.953730829377</v>
      </c>
      <c r="BH98" s="50">
        <f>BH15</f>
        <v>23802.953730829377</v>
      </c>
      <c r="BI98" s="50">
        <f>BI15</f>
        <v>23802.953730829377</v>
      </c>
      <c r="BJ98" s="50">
        <f>BJ15</f>
        <v>23802.953730829377</v>
      </c>
      <c r="BK98" s="50">
        <f>BK15</f>
        <v>23802.953730829377</v>
      </c>
      <c r="BL98" s="50">
        <f>BL15</f>
        <v>23802.953730829377</v>
      </c>
      <c r="BM98" s="50">
        <f>BM15</f>
        <v>23802.953730829377</v>
      </c>
      <c r="BN98" s="50">
        <f>BN15</f>
        <v>23802.953730829377</v>
      </c>
      <c r="BO98" s="50">
        <f>BO15</f>
        <v>285635.4447699525</v>
      </c>
    </row>
    <row r="99" ht="15" customHeight="1">
      <c r="A99" s="49" t="inlineStr">
        <is>
          <t>Indirect Labor — Owner Compensation (New)</t>
        </is>
      </c>
      <c r="C99" s="50">
        <f>C16</f>
        <v>6000</v>
      </c>
      <c r="D99" s="50">
        <f>D16</f>
        <v>6000</v>
      </c>
      <c r="E99" s="50">
        <f>E16</f>
        <v>6000</v>
      </c>
      <c r="F99" s="50">
        <f>F16</f>
        <v>6000</v>
      </c>
      <c r="G99" s="50">
        <f>G16</f>
        <v>6000</v>
      </c>
      <c r="H99" s="50">
        <f>H16</f>
        <v>6000</v>
      </c>
      <c r="I99" s="50">
        <f>I16</f>
        <v>6000</v>
      </c>
      <c r="J99" s="50">
        <f>J16</f>
        <v>6000</v>
      </c>
      <c r="K99" s="50">
        <f>K16</f>
        <v>6000</v>
      </c>
      <c r="L99" s="50">
        <f>L16</f>
        <v>6000</v>
      </c>
      <c r="M99" s="50">
        <f>M16</f>
        <v>6000</v>
      </c>
      <c r="N99" s="50">
        <f>N16</f>
        <v>6000</v>
      </c>
      <c r="O99" s="50">
        <f>O16</f>
        <v>72000</v>
      </c>
      <c r="P99" s="50">
        <f>P16</f>
        <v>6210</v>
      </c>
      <c r="Q99" s="50">
        <f>Q16</f>
        <v>6210</v>
      </c>
      <c r="R99" s="50">
        <f>R16</f>
        <v>6210</v>
      </c>
      <c r="S99" s="50">
        <f>S16</f>
        <v>6210</v>
      </c>
      <c r="T99" s="50">
        <f>T16</f>
        <v>6210</v>
      </c>
      <c r="U99" s="50">
        <f>U16</f>
        <v>6210</v>
      </c>
      <c r="V99" s="50">
        <f>V16</f>
        <v>6210</v>
      </c>
      <c r="W99" s="50">
        <f>W16</f>
        <v>6210</v>
      </c>
      <c r="X99" s="50">
        <f>X16</f>
        <v>6210</v>
      </c>
      <c r="Y99" s="50">
        <f>Y16</f>
        <v>6210</v>
      </c>
      <c r="Z99" s="50">
        <f>Z16</f>
        <v>6210</v>
      </c>
      <c r="AA99" s="50">
        <f>AA16</f>
        <v>6210</v>
      </c>
      <c r="AB99" s="50">
        <f>AB16</f>
        <v>74520</v>
      </c>
      <c r="AC99" s="50">
        <f>AC16</f>
        <v>6427.3499999999995</v>
      </c>
      <c r="AD99" s="50">
        <f>AD16</f>
        <v>6427.3499999999995</v>
      </c>
      <c r="AE99" s="50">
        <f>AE16</f>
        <v>6427.3499999999995</v>
      </c>
      <c r="AF99" s="50">
        <f>AF16</f>
        <v>6427.3499999999995</v>
      </c>
      <c r="AG99" s="50">
        <f>AG16</f>
        <v>6427.3499999999995</v>
      </c>
      <c r="AH99" s="50">
        <f>AH16</f>
        <v>6427.3499999999995</v>
      </c>
      <c r="AI99" s="50">
        <f>AI16</f>
        <v>6427.3499999999995</v>
      </c>
      <c r="AJ99" s="50">
        <f>AJ16</f>
        <v>6427.3499999999995</v>
      </c>
      <c r="AK99" s="50">
        <f>AK16</f>
        <v>6427.3499999999995</v>
      </c>
      <c r="AL99" s="50">
        <f>AL16</f>
        <v>6427.3499999999995</v>
      </c>
      <c r="AM99" s="50">
        <f>AM16</f>
        <v>6427.3499999999995</v>
      </c>
      <c r="AN99" s="50">
        <f>AN16</f>
        <v>6427.3499999999995</v>
      </c>
      <c r="AO99" s="50">
        <f>AO16</f>
        <v>77128.199999999997</v>
      </c>
      <c r="AP99" s="50">
        <f>AP16</f>
        <v>6652.3072499999989</v>
      </c>
      <c r="AQ99" s="50">
        <f>AQ16</f>
        <v>6652.3072499999989</v>
      </c>
      <c r="AR99" s="50">
        <f>AR16</f>
        <v>6652.3072499999989</v>
      </c>
      <c r="AS99" s="50">
        <f>AS16</f>
        <v>6652.3072499999989</v>
      </c>
      <c r="AT99" s="50">
        <f>AT16</f>
        <v>6652.3072499999989</v>
      </c>
      <c r="AU99" s="50">
        <f>AU16</f>
        <v>6652.3072499999989</v>
      </c>
      <c r="AV99" s="50">
        <f>AV16</f>
        <v>6652.3072499999989</v>
      </c>
      <c r="AW99" s="50">
        <f>AW16</f>
        <v>6652.3072499999989</v>
      </c>
      <c r="AX99" s="50">
        <f>AX16</f>
        <v>6652.3072499999989</v>
      </c>
      <c r="AY99" s="50">
        <f>AY16</f>
        <v>6652.3072499999989</v>
      </c>
      <c r="AZ99" s="50">
        <f>AZ16</f>
        <v>6652.3072499999989</v>
      </c>
      <c r="BA99" s="50">
        <f>BA16</f>
        <v>6652.3072499999989</v>
      </c>
      <c r="BB99" s="50">
        <f>BB16</f>
        <v>79827.686999999991</v>
      </c>
      <c r="BC99" s="50">
        <f>BC16</f>
        <v>6885.1380037499985</v>
      </c>
      <c r="BD99" s="50">
        <f>BD16</f>
        <v>6885.1380037499985</v>
      </c>
      <c r="BE99" s="50">
        <f>BE16</f>
        <v>6885.1380037499985</v>
      </c>
      <c r="BF99" s="50">
        <f>BF16</f>
        <v>6885.1380037499985</v>
      </c>
      <c r="BG99" s="50">
        <f>BG16</f>
        <v>6885.1380037499985</v>
      </c>
      <c r="BH99" s="50">
        <f>BH16</f>
        <v>6885.1380037499985</v>
      </c>
      <c r="BI99" s="50">
        <f>BI16</f>
        <v>6885.1380037499985</v>
      </c>
      <c r="BJ99" s="50">
        <f>BJ16</f>
        <v>6885.1380037499985</v>
      </c>
      <c r="BK99" s="50">
        <f>BK16</f>
        <v>6885.1380037499985</v>
      </c>
      <c r="BL99" s="50">
        <f>BL16</f>
        <v>6885.1380037499985</v>
      </c>
      <c r="BM99" s="50">
        <f>BM16</f>
        <v>6885.1380037499985</v>
      </c>
      <c r="BN99" s="50">
        <f>BN16</f>
        <v>6885.1380037499985</v>
      </c>
      <c r="BO99" s="50">
        <f>BO16</f>
        <v>82621.656044999982</v>
      </c>
    </row>
    <row r="100" ht="15" customHeight="1">
      <c r="A100" s="49" t="inlineStr">
        <is>
          <t>Indirect Labor — Additional Hire (New)</t>
        </is>
      </c>
      <c r="C100" s="50">
        <f>C17</f>
        <v>0</v>
      </c>
      <c r="D100" s="50">
        <f>D17</f>
        <v>0</v>
      </c>
      <c r="E100" s="50">
        <f>E17</f>
        <v>0</v>
      </c>
      <c r="F100" s="50">
        <f>F17</f>
        <v>0</v>
      </c>
      <c r="G100" s="50">
        <f>G17</f>
        <v>0</v>
      </c>
      <c r="H100" s="50">
        <f>H17</f>
        <v>0</v>
      </c>
      <c r="I100" s="50">
        <f>I17</f>
        <v>0</v>
      </c>
      <c r="J100" s="50">
        <f>J17</f>
        <v>0</v>
      </c>
      <c r="K100" s="50">
        <f>K17</f>
        <v>0</v>
      </c>
      <c r="L100" s="50">
        <f>L17</f>
        <v>0</v>
      </c>
      <c r="M100" s="50">
        <f>M17</f>
        <v>0</v>
      </c>
      <c r="N100" s="50">
        <f>N17</f>
        <v>0</v>
      </c>
      <c r="O100" s="50">
        <f>O17</f>
        <v>0</v>
      </c>
      <c r="P100" s="50">
        <f>P17</f>
        <v>0</v>
      </c>
      <c r="Q100" s="50">
        <f>Q17</f>
        <v>0</v>
      </c>
      <c r="R100" s="50">
        <f>R17</f>
        <v>0</v>
      </c>
      <c r="S100" s="50">
        <f>S17</f>
        <v>0</v>
      </c>
      <c r="T100" s="50">
        <f>T17</f>
        <v>0</v>
      </c>
      <c r="U100" s="50">
        <f>U17</f>
        <v>0</v>
      </c>
      <c r="V100" s="50">
        <f>V17</f>
        <v>0</v>
      </c>
      <c r="W100" s="50">
        <f>W17</f>
        <v>0</v>
      </c>
      <c r="X100" s="50">
        <f>X17</f>
        <v>0</v>
      </c>
      <c r="Y100" s="50">
        <f>Y17</f>
        <v>0</v>
      </c>
      <c r="Z100" s="50">
        <f>Z17</f>
        <v>0</v>
      </c>
      <c r="AA100" s="50">
        <f>AA17</f>
        <v>0</v>
      </c>
      <c r="AB100" s="50">
        <f>AB17</f>
        <v>0</v>
      </c>
      <c r="AC100" s="50">
        <f>AC17</f>
        <v>0</v>
      </c>
      <c r="AD100" s="50">
        <f>AD17</f>
        <v>0</v>
      </c>
      <c r="AE100" s="50">
        <f>AE17</f>
        <v>0</v>
      </c>
      <c r="AF100" s="50">
        <f>AF17</f>
        <v>0</v>
      </c>
      <c r="AG100" s="50">
        <f>AG17</f>
        <v>0</v>
      </c>
      <c r="AH100" s="50">
        <f>AH17</f>
        <v>0</v>
      </c>
      <c r="AI100" s="50">
        <f>AI17</f>
        <v>0</v>
      </c>
      <c r="AJ100" s="50">
        <f>AJ17</f>
        <v>0</v>
      </c>
      <c r="AK100" s="50">
        <f>AK17</f>
        <v>0</v>
      </c>
      <c r="AL100" s="50">
        <f>AL17</f>
        <v>0</v>
      </c>
      <c r="AM100" s="50">
        <f>AM17</f>
        <v>0</v>
      </c>
      <c r="AN100" s="50">
        <f>AN17</f>
        <v>0</v>
      </c>
      <c r="AO100" s="50">
        <f>AO17</f>
        <v>0</v>
      </c>
      <c r="AP100" s="50">
        <f>AP17</f>
        <v>0</v>
      </c>
      <c r="AQ100" s="50">
        <f>AQ17</f>
        <v>0</v>
      </c>
      <c r="AR100" s="50">
        <f>AR17</f>
        <v>0</v>
      </c>
      <c r="AS100" s="50">
        <f>AS17</f>
        <v>0</v>
      </c>
      <c r="AT100" s="50">
        <f>AT17</f>
        <v>0</v>
      </c>
      <c r="AU100" s="50">
        <f>AU17</f>
        <v>0</v>
      </c>
      <c r="AV100" s="50">
        <f>AV17</f>
        <v>0</v>
      </c>
      <c r="AW100" s="50">
        <f>AW17</f>
        <v>0</v>
      </c>
      <c r="AX100" s="50">
        <f>AX17</f>
        <v>0</v>
      </c>
      <c r="AY100" s="50">
        <f>AY17</f>
        <v>0</v>
      </c>
      <c r="AZ100" s="50">
        <f>AZ17</f>
        <v>0</v>
      </c>
      <c r="BA100" s="50">
        <f>BA17</f>
        <v>0</v>
      </c>
      <c r="BB100" s="50">
        <f>BB17</f>
        <v>0</v>
      </c>
      <c r="BC100" s="50">
        <f>BC17</f>
        <v>0</v>
      </c>
      <c r="BD100" s="50">
        <f>BD17</f>
        <v>0</v>
      </c>
      <c r="BE100" s="50">
        <f>BE17</f>
        <v>0</v>
      </c>
      <c r="BF100" s="50">
        <f>BF17</f>
        <v>0</v>
      </c>
      <c r="BG100" s="50">
        <f>BG17</f>
        <v>0</v>
      </c>
      <c r="BH100" s="50">
        <f>BH17</f>
        <v>0</v>
      </c>
      <c r="BI100" s="50">
        <f>BI17</f>
        <v>0</v>
      </c>
      <c r="BJ100" s="50">
        <f>BJ17</f>
        <v>0</v>
      </c>
      <c r="BK100" s="50">
        <f>BK17</f>
        <v>0</v>
      </c>
      <c r="BL100" s="50">
        <f>BL17</f>
        <v>0</v>
      </c>
      <c r="BM100" s="50">
        <f>BM17</f>
        <v>0</v>
      </c>
      <c r="BN100" s="50">
        <f>BN17</f>
        <v>0</v>
      </c>
      <c r="BO100" s="50">
        <f>BO17</f>
        <v>0</v>
      </c>
    </row>
    <row r="101" ht="15" customHeight="1">
      <c r="A101" s="49" t="inlineStr">
        <is>
          <t>Indirect Labor — Payroll Tax on New Positions</t>
        </is>
      </c>
      <c r="C101" s="50">
        <f>C18</f>
        <v>504.00000000000006</v>
      </c>
      <c r="D101" s="50">
        <f>D18</f>
        <v>504.00000000000006</v>
      </c>
      <c r="E101" s="50">
        <f>E18</f>
        <v>504.00000000000006</v>
      </c>
      <c r="F101" s="50">
        <f>F18</f>
        <v>504.00000000000006</v>
      </c>
      <c r="G101" s="50">
        <f>G18</f>
        <v>504.00000000000006</v>
      </c>
      <c r="H101" s="50">
        <f>H18</f>
        <v>504.00000000000006</v>
      </c>
      <c r="I101" s="50">
        <f>I18</f>
        <v>504.00000000000006</v>
      </c>
      <c r="J101" s="50">
        <f>J18</f>
        <v>504.00000000000006</v>
      </c>
      <c r="K101" s="50">
        <f>K18</f>
        <v>504.00000000000006</v>
      </c>
      <c r="L101" s="50">
        <f>L18</f>
        <v>504.00000000000006</v>
      </c>
      <c r="M101" s="50">
        <f>M18</f>
        <v>504.00000000000006</v>
      </c>
      <c r="N101" s="50">
        <f>N18</f>
        <v>504.00000000000006</v>
      </c>
      <c r="O101" s="50">
        <f>O18</f>
        <v>6048</v>
      </c>
      <c r="P101" s="50">
        <f>P18</f>
        <v>521.63999999999999</v>
      </c>
      <c r="Q101" s="50">
        <f>Q18</f>
        <v>521.63999999999999</v>
      </c>
      <c r="R101" s="50">
        <f>R18</f>
        <v>521.63999999999999</v>
      </c>
      <c r="S101" s="50">
        <f>S18</f>
        <v>521.63999999999999</v>
      </c>
      <c r="T101" s="50">
        <f>T18</f>
        <v>521.63999999999999</v>
      </c>
      <c r="U101" s="50">
        <f>U18</f>
        <v>521.63999999999999</v>
      </c>
      <c r="V101" s="50">
        <f>V18</f>
        <v>521.63999999999999</v>
      </c>
      <c r="W101" s="50">
        <f>W18</f>
        <v>521.63999999999999</v>
      </c>
      <c r="X101" s="50">
        <f>X18</f>
        <v>521.63999999999999</v>
      </c>
      <c r="Y101" s="50">
        <f>Y18</f>
        <v>521.63999999999999</v>
      </c>
      <c r="Z101" s="50">
        <f>Z18</f>
        <v>521.63999999999999</v>
      </c>
      <c r="AA101" s="50">
        <f>AA18</f>
        <v>521.63999999999999</v>
      </c>
      <c r="AB101" s="50">
        <f>AB18</f>
        <v>6259.6800000000003</v>
      </c>
      <c r="AC101" s="50">
        <f>AC18</f>
        <v>539.89739999999995</v>
      </c>
      <c r="AD101" s="50">
        <f>AD18</f>
        <v>539.89739999999995</v>
      </c>
      <c r="AE101" s="50">
        <f>AE18</f>
        <v>539.89739999999995</v>
      </c>
      <c r="AF101" s="50">
        <f>AF18</f>
        <v>539.89739999999995</v>
      </c>
      <c r="AG101" s="50">
        <f>AG18</f>
        <v>539.89739999999995</v>
      </c>
      <c r="AH101" s="50">
        <f>AH18</f>
        <v>539.89739999999995</v>
      </c>
      <c r="AI101" s="50">
        <f>AI18</f>
        <v>539.89739999999995</v>
      </c>
      <c r="AJ101" s="50">
        <f>AJ18</f>
        <v>539.89739999999995</v>
      </c>
      <c r="AK101" s="50">
        <f>AK18</f>
        <v>539.89739999999995</v>
      </c>
      <c r="AL101" s="50">
        <f>AL18</f>
        <v>539.89739999999995</v>
      </c>
      <c r="AM101" s="50">
        <f>AM18</f>
        <v>539.89739999999995</v>
      </c>
      <c r="AN101" s="50">
        <f>AN18</f>
        <v>539.89739999999995</v>
      </c>
      <c r="AO101" s="50">
        <f>AO18</f>
        <v>6478.7687999999998</v>
      </c>
      <c r="AP101" s="50">
        <f>AP18</f>
        <v>558.7938089999999</v>
      </c>
      <c r="AQ101" s="50">
        <f>AQ18</f>
        <v>558.7938089999999</v>
      </c>
      <c r="AR101" s="50">
        <f>AR18</f>
        <v>558.7938089999999</v>
      </c>
      <c r="AS101" s="50">
        <f>AS18</f>
        <v>558.7938089999999</v>
      </c>
      <c r="AT101" s="50">
        <f>AT18</f>
        <v>558.7938089999999</v>
      </c>
      <c r="AU101" s="50">
        <f>AU18</f>
        <v>558.7938089999999</v>
      </c>
      <c r="AV101" s="50">
        <f>AV18</f>
        <v>558.7938089999999</v>
      </c>
      <c r="AW101" s="50">
        <f>AW18</f>
        <v>558.7938089999999</v>
      </c>
      <c r="AX101" s="50">
        <f>AX18</f>
        <v>558.7938089999999</v>
      </c>
      <c r="AY101" s="50">
        <f>AY18</f>
        <v>558.7938089999999</v>
      </c>
      <c r="AZ101" s="50">
        <f>AZ18</f>
        <v>558.7938089999999</v>
      </c>
      <c r="BA101" s="50">
        <f>BA18</f>
        <v>558.7938089999999</v>
      </c>
      <c r="BB101" s="50">
        <f>BB18</f>
        <v>6705.5257079999992</v>
      </c>
      <c r="BC101" s="50">
        <f>BC18</f>
        <v>578.35159231499995</v>
      </c>
      <c r="BD101" s="50">
        <f>BD18</f>
        <v>578.35159231499995</v>
      </c>
      <c r="BE101" s="50">
        <f>BE18</f>
        <v>578.35159231499995</v>
      </c>
      <c r="BF101" s="50">
        <f>BF18</f>
        <v>578.35159231499995</v>
      </c>
      <c r="BG101" s="50">
        <f>BG18</f>
        <v>578.35159231499995</v>
      </c>
      <c r="BH101" s="50">
        <f>BH18</f>
        <v>578.35159231499995</v>
      </c>
      <c r="BI101" s="50">
        <f>BI18</f>
        <v>578.35159231499995</v>
      </c>
      <c r="BJ101" s="50">
        <f>BJ18</f>
        <v>578.35159231499995</v>
      </c>
      <c r="BK101" s="50">
        <f>BK18</f>
        <v>578.35159231499995</v>
      </c>
      <c r="BL101" s="50">
        <f>BL18</f>
        <v>578.35159231499995</v>
      </c>
      <c r="BM101" s="50">
        <f>BM18</f>
        <v>578.35159231499995</v>
      </c>
      <c r="BN101" s="50">
        <f>BN18</f>
        <v>578.35159231499995</v>
      </c>
      <c r="BO101" s="50">
        <f>BO18</f>
        <v>6940.2191077799989</v>
      </c>
    </row>
    <row r="102" ht="15" customHeight="1">
      <c r="A102" s="51" t="inlineStr">
        <is>
          <t>Total Indirect Labor</t>
        </is>
      </c>
      <c r="B102" s="53" t="n"/>
      <c r="C102" s="52">
        <f>C19</f>
        <v>27246.899024999995</v>
      </c>
      <c r="D102" s="52">
        <f>D19</f>
        <v>27246.899024999995</v>
      </c>
      <c r="E102" s="52">
        <f>E19</f>
        <v>27246.899024999995</v>
      </c>
      <c r="F102" s="52">
        <f>F19</f>
        <v>27246.899024999995</v>
      </c>
      <c r="G102" s="52">
        <f>G19</f>
        <v>27246.899024999995</v>
      </c>
      <c r="H102" s="52">
        <f>H19</f>
        <v>27246.899024999995</v>
      </c>
      <c r="I102" s="52">
        <f>I19</f>
        <v>27246.899024999995</v>
      </c>
      <c r="J102" s="52">
        <f>J19</f>
        <v>27246.899024999995</v>
      </c>
      <c r="K102" s="52">
        <f>K19</f>
        <v>27246.899024999995</v>
      </c>
      <c r="L102" s="52">
        <f>L19</f>
        <v>27246.899024999995</v>
      </c>
      <c r="M102" s="52">
        <f>M19</f>
        <v>27246.899024999995</v>
      </c>
      <c r="N102" s="52">
        <f>N19</f>
        <v>27246.899024999995</v>
      </c>
      <c r="O102" s="52">
        <f>O19</f>
        <v>326962.7882999999</v>
      </c>
      <c r="P102" s="52">
        <f>P19</f>
        <v>28200.540490874992</v>
      </c>
      <c r="Q102" s="52">
        <f>Q19</f>
        <v>28200.540490874992</v>
      </c>
      <c r="R102" s="52">
        <f>R19</f>
        <v>28200.540490874992</v>
      </c>
      <c r="S102" s="52">
        <f>S19</f>
        <v>28200.540490874992</v>
      </c>
      <c r="T102" s="52">
        <f>T19</f>
        <v>28200.540490874992</v>
      </c>
      <c r="U102" s="52">
        <f>U19</f>
        <v>28200.540490874992</v>
      </c>
      <c r="V102" s="52">
        <f>V19</f>
        <v>28200.540490874992</v>
      </c>
      <c r="W102" s="52">
        <f>W19</f>
        <v>28200.540490874992</v>
      </c>
      <c r="X102" s="52">
        <f>X19</f>
        <v>28200.540490874992</v>
      </c>
      <c r="Y102" s="52">
        <f>Y19</f>
        <v>28200.540490874992</v>
      </c>
      <c r="Z102" s="52">
        <f>Z19</f>
        <v>28200.540490874992</v>
      </c>
      <c r="AA102" s="52">
        <f>AA19</f>
        <v>28200.540490874992</v>
      </c>
      <c r="AB102" s="52">
        <f>AB19</f>
        <v>338406.4858904999</v>
      </c>
      <c r="AC102" s="52">
        <f>AC19</f>
        <v>29187.559408055615</v>
      </c>
      <c r="AD102" s="52">
        <f>AD19</f>
        <v>29187.559408055615</v>
      </c>
      <c r="AE102" s="52">
        <f>AE19</f>
        <v>29187.559408055615</v>
      </c>
      <c r="AF102" s="52">
        <f>AF19</f>
        <v>29187.559408055615</v>
      </c>
      <c r="AG102" s="52">
        <f>AG19</f>
        <v>29187.559408055615</v>
      </c>
      <c r="AH102" s="52">
        <f>AH19</f>
        <v>29187.559408055615</v>
      </c>
      <c r="AI102" s="52">
        <f>AI19</f>
        <v>29187.559408055615</v>
      </c>
      <c r="AJ102" s="52">
        <f>AJ19</f>
        <v>29187.559408055615</v>
      </c>
      <c r="AK102" s="52">
        <f>AK19</f>
        <v>29187.559408055615</v>
      </c>
      <c r="AL102" s="52">
        <f>AL19</f>
        <v>29187.559408055615</v>
      </c>
      <c r="AM102" s="52">
        <f>AM19</f>
        <v>29187.559408055615</v>
      </c>
      <c r="AN102" s="52">
        <f>AN19</f>
        <v>29187.559408055615</v>
      </c>
      <c r="AO102" s="52">
        <f>AO19</f>
        <v>350250.71289666742</v>
      </c>
      <c r="AP102" s="52">
        <f>AP19</f>
        <v>30209.12398733756</v>
      </c>
      <c r="AQ102" s="52">
        <f>AQ19</f>
        <v>30209.12398733756</v>
      </c>
      <c r="AR102" s="52">
        <f>AR19</f>
        <v>30209.12398733756</v>
      </c>
      <c r="AS102" s="52">
        <f>AS19</f>
        <v>30209.12398733756</v>
      </c>
      <c r="AT102" s="52">
        <f>AT19</f>
        <v>30209.12398733756</v>
      </c>
      <c r="AU102" s="52">
        <f>AU19</f>
        <v>30209.12398733756</v>
      </c>
      <c r="AV102" s="52">
        <f>AV19</f>
        <v>30209.12398733756</v>
      </c>
      <c r="AW102" s="52">
        <f>AW19</f>
        <v>30209.12398733756</v>
      </c>
      <c r="AX102" s="52">
        <f>AX19</f>
        <v>30209.12398733756</v>
      </c>
      <c r="AY102" s="52">
        <f>AY19</f>
        <v>30209.12398733756</v>
      </c>
      <c r="AZ102" s="52">
        <f>AZ19</f>
        <v>30209.12398733756</v>
      </c>
      <c r="BA102" s="52">
        <f>BA19</f>
        <v>30209.12398733756</v>
      </c>
      <c r="BB102" s="52">
        <f>BB19</f>
        <v>362509.48784805072</v>
      </c>
      <c r="BC102" s="52">
        <f>BC19</f>
        <v>31266.443326894376</v>
      </c>
      <c r="BD102" s="52">
        <f>BD19</f>
        <v>31266.443326894376</v>
      </c>
      <c r="BE102" s="52">
        <f>BE19</f>
        <v>31266.443326894376</v>
      </c>
      <c r="BF102" s="52">
        <f>BF19</f>
        <v>31266.443326894376</v>
      </c>
      <c r="BG102" s="52">
        <f>BG19</f>
        <v>31266.443326894376</v>
      </c>
      <c r="BH102" s="52">
        <f>BH19</f>
        <v>31266.443326894376</v>
      </c>
      <c r="BI102" s="52">
        <f>BI19</f>
        <v>31266.443326894376</v>
      </c>
      <c r="BJ102" s="52">
        <f>BJ19</f>
        <v>31266.443326894376</v>
      </c>
      <c r="BK102" s="52">
        <f>BK19</f>
        <v>31266.443326894376</v>
      </c>
      <c r="BL102" s="52">
        <f>BL19</f>
        <v>31266.443326894376</v>
      </c>
      <c r="BM102" s="52">
        <f>BM19</f>
        <v>31266.443326894376</v>
      </c>
      <c r="BN102" s="52">
        <f>BN19</f>
        <v>31266.443326894376</v>
      </c>
      <c r="BO102" s="52">
        <f>BO19</f>
        <v>375197.31992273254</v>
      </c>
    </row>
    <row r="103" ht="15" customHeight="1">
      <c r="A103" s="60" t="inlineStr">
        <is>
          <t>Total Labor (Direct + Indirect)</t>
        </is>
      </c>
      <c r="B103" s="53" t="n"/>
      <c r="C103" s="52">
        <f>C97+C102</f>
        <v>52494.984723458329</v>
      </c>
      <c r="D103" s="52">
        <f>D97+D102</f>
        <v>52494.984723458329</v>
      </c>
      <c r="E103" s="52">
        <f>E97+E102</f>
        <v>52494.984723458329</v>
      </c>
      <c r="F103" s="52">
        <f>F97+F102</f>
        <v>52494.984723458329</v>
      </c>
      <c r="G103" s="52">
        <f>G97+G102</f>
        <v>52494.984723458329</v>
      </c>
      <c r="H103" s="52">
        <f>H97+H102</f>
        <v>52494.984723458329</v>
      </c>
      <c r="I103" s="52">
        <f>I97+I102</f>
        <v>52494.984723458329</v>
      </c>
      <c r="J103" s="52">
        <f>J97+J102</f>
        <v>52494.984723458329</v>
      </c>
      <c r="K103" s="52">
        <f>K97+K102</f>
        <v>52494.984723458329</v>
      </c>
      <c r="L103" s="52">
        <f>L97+L102</f>
        <v>52494.984723458329</v>
      </c>
      <c r="M103" s="52">
        <f>M97+M102</f>
        <v>52494.984723458329</v>
      </c>
      <c r="N103" s="52">
        <f>N97+N102</f>
        <v>52494.984723458329</v>
      </c>
      <c r="O103" s="52">
        <f>O97+O102</f>
        <v>629939.81668149983</v>
      </c>
      <c r="P103" s="52">
        <f>P97+P102</f>
        <v>59302.977726708319</v>
      </c>
      <c r="Q103" s="52">
        <f>Q97+Q102</f>
        <v>59302.977726708319</v>
      </c>
      <c r="R103" s="52">
        <f>R97+R102</f>
        <v>59302.977726708319</v>
      </c>
      <c r="S103" s="52">
        <f>S97+S102</f>
        <v>59302.977726708319</v>
      </c>
      <c r="T103" s="52">
        <f>T97+T102</f>
        <v>59302.977726708319</v>
      </c>
      <c r="U103" s="52">
        <f>U97+U102</f>
        <v>59302.977726708319</v>
      </c>
      <c r="V103" s="52">
        <f>V97+V102</f>
        <v>59302.977726708319</v>
      </c>
      <c r="W103" s="52">
        <f>W97+W102</f>
        <v>59302.977726708319</v>
      </c>
      <c r="X103" s="52">
        <f>X97+X102</f>
        <v>59302.977726708319</v>
      </c>
      <c r="Y103" s="52">
        <f>Y97+Y102</f>
        <v>59302.977726708319</v>
      </c>
      <c r="Z103" s="52">
        <f>Z97+Z102</f>
        <v>59302.977726708319</v>
      </c>
      <c r="AA103" s="52">
        <f>AA97+AA102</f>
        <v>59302.977726708319</v>
      </c>
      <c r="AB103" s="52">
        <f>AB97+AB102</f>
        <v>711635.73272049986</v>
      </c>
      <c r="AC103" s="52">
        <f>AC97+AC102</f>
        <v>61689.606319501443</v>
      </c>
      <c r="AD103" s="52">
        <f>AD97+AD102</f>
        <v>61689.606319501443</v>
      </c>
      <c r="AE103" s="52">
        <f>AE97+AE102</f>
        <v>61689.606319501443</v>
      </c>
      <c r="AF103" s="52">
        <f>AF97+AF102</f>
        <v>61689.606319501443</v>
      </c>
      <c r="AG103" s="52">
        <f>AG97+AG102</f>
        <v>61689.606319501443</v>
      </c>
      <c r="AH103" s="52">
        <f>AH97+AH102</f>
        <v>61689.606319501443</v>
      </c>
      <c r="AI103" s="52">
        <f>AI97+AI102</f>
        <v>61689.606319501443</v>
      </c>
      <c r="AJ103" s="52">
        <f>AJ97+AJ102</f>
        <v>61689.606319501443</v>
      </c>
      <c r="AK103" s="52">
        <f>AK97+AK102</f>
        <v>61689.606319501443</v>
      </c>
      <c r="AL103" s="52">
        <f>AL97+AL102</f>
        <v>61689.606319501443</v>
      </c>
      <c r="AM103" s="52">
        <f>AM97+AM102</f>
        <v>61689.606319501443</v>
      </c>
      <c r="AN103" s="52">
        <f>AN97+AN102</f>
        <v>61689.606319501443</v>
      </c>
      <c r="AO103" s="52">
        <f>AO97+AO102</f>
        <v>740275.27583401743</v>
      </c>
      <c r="AP103" s="52">
        <f>AP97+AP102</f>
        <v>64173.763009798444</v>
      </c>
      <c r="AQ103" s="52">
        <f>AQ97+AQ102</f>
        <v>64173.763009798444</v>
      </c>
      <c r="AR103" s="52">
        <f>AR97+AR102</f>
        <v>64173.763009798444</v>
      </c>
      <c r="AS103" s="52">
        <f>AS97+AS102</f>
        <v>64173.763009798444</v>
      </c>
      <c r="AT103" s="52">
        <f>AT97+AT102</f>
        <v>64173.763009798444</v>
      </c>
      <c r="AU103" s="52">
        <f>AU97+AU102</f>
        <v>64173.763009798444</v>
      </c>
      <c r="AV103" s="52">
        <f>AV97+AV102</f>
        <v>64173.763009798444</v>
      </c>
      <c r="AW103" s="52">
        <f>AW97+AW102</f>
        <v>64173.763009798444</v>
      </c>
      <c r="AX103" s="52">
        <f>AX97+AX102</f>
        <v>64173.763009798444</v>
      </c>
      <c r="AY103" s="52">
        <f>AY97+AY102</f>
        <v>64173.763009798444</v>
      </c>
      <c r="AZ103" s="52">
        <f>AZ97+AZ102</f>
        <v>64173.763009798444</v>
      </c>
      <c r="BA103" s="52">
        <f>BA97+BA102</f>
        <v>64173.763009798444</v>
      </c>
      <c r="BB103" s="52">
        <f>BB97+BB102</f>
        <v>770085.1561175813</v>
      </c>
      <c r="BC103" s="52">
        <f>BC97+BC102</f>
        <v>66759.491105366003</v>
      </c>
      <c r="BD103" s="52">
        <f>BD97+BD102</f>
        <v>66759.491105366003</v>
      </c>
      <c r="BE103" s="52">
        <f>BE97+BE102</f>
        <v>66759.491105366003</v>
      </c>
      <c r="BF103" s="52">
        <f>BF97+BF102</f>
        <v>66759.491105366003</v>
      </c>
      <c r="BG103" s="52">
        <f>BG97+BG102</f>
        <v>66759.491105366003</v>
      </c>
      <c r="BH103" s="52">
        <f>BH97+BH102</f>
        <v>66759.491105366003</v>
      </c>
      <c r="BI103" s="52">
        <f>BI97+BI102</f>
        <v>66759.491105366003</v>
      </c>
      <c r="BJ103" s="52">
        <f>BJ97+BJ102</f>
        <v>66759.491105366003</v>
      </c>
      <c r="BK103" s="52">
        <f>BK97+BK102</f>
        <v>66759.491105366003</v>
      </c>
      <c r="BL103" s="52">
        <f>BL97+BL102</f>
        <v>66759.491105366003</v>
      </c>
      <c r="BM103" s="52">
        <f>BM97+BM102</f>
        <v>66759.491105366003</v>
      </c>
      <c r="BN103" s="52">
        <f>BN97+BN102</f>
        <v>66759.491105366003</v>
      </c>
      <c r="BO103" s="52">
        <f>BO97+BO102</f>
        <v>801113.89326439204</v>
      </c>
    </row>
    <row r="104" ht="15" customHeight="1">
      <c r="A104" s="49" t="inlineStr">
        <is>
          <t>Direct Labor — % of Net Revenue</t>
        </is>
      </c>
      <c r="C104" s="54">
        <f>IFERROR(C97/C7,0)</f>
        <v>0.30756167911244248</v>
      </c>
      <c r="D104" s="54">
        <f>IFERROR(D97/D7,0)</f>
        <v>0.30756167911244248</v>
      </c>
      <c r="E104" s="54">
        <f>IFERROR(E97/E7,0)</f>
        <v>0.30756167911244248</v>
      </c>
      <c r="F104" s="54">
        <f>IFERROR(F97/F7,0)</f>
        <v>0.30756167911244248</v>
      </c>
      <c r="G104" s="54">
        <f>IFERROR(G97/G7,0)</f>
        <v>0.30756167911244248</v>
      </c>
      <c r="H104" s="54">
        <f>IFERROR(H97/H7,0)</f>
        <v>0.30756167911244248</v>
      </c>
      <c r="I104" s="54">
        <f>IFERROR(I97/I7,0)</f>
        <v>0.30756167911244248</v>
      </c>
      <c r="J104" s="54">
        <f>IFERROR(J97/J7,0)</f>
        <v>0.30756167911244248</v>
      </c>
      <c r="K104" s="54">
        <f>IFERROR(K97/K7,0)</f>
        <v>0.30756167911244248</v>
      </c>
      <c r="L104" s="54">
        <f>IFERROR(L97/L7,0)</f>
        <v>0.30756167911244248</v>
      </c>
      <c r="M104" s="54">
        <f>IFERROR(M97/M7,0)</f>
        <v>0.30756167911244248</v>
      </c>
      <c r="N104" s="54">
        <f>IFERROR(N97/N7,0)</f>
        <v>0.30756167911244248</v>
      </c>
      <c r="O104" s="54">
        <f>IFERROR(O97/O7,0)</f>
        <v>0.30756167911244248</v>
      </c>
      <c r="P104" s="54">
        <f>IFERROR(P97/P7,0)</f>
        <v>0.36256167911244247</v>
      </c>
      <c r="Q104" s="54">
        <f>IFERROR(Q97/Q7,0)</f>
        <v>0.36256167911244247</v>
      </c>
      <c r="R104" s="54">
        <f>IFERROR(R97/R7,0)</f>
        <v>0.36256167911244247</v>
      </c>
      <c r="S104" s="54">
        <f>IFERROR(S97/S7,0)</f>
        <v>0.36256167911244247</v>
      </c>
      <c r="T104" s="54">
        <f>IFERROR(T97/T7,0)</f>
        <v>0.36256167911244247</v>
      </c>
      <c r="U104" s="54">
        <f>IFERROR(U97/U7,0)</f>
        <v>0.36256167911244247</v>
      </c>
      <c r="V104" s="54">
        <f>IFERROR(V97/V7,0)</f>
        <v>0.36256167911244247</v>
      </c>
      <c r="W104" s="54">
        <f>IFERROR(W97/W7,0)</f>
        <v>0.36256167911244247</v>
      </c>
      <c r="X104" s="54">
        <f>IFERROR(X97/X7,0)</f>
        <v>0.36256167911244247</v>
      </c>
      <c r="Y104" s="54">
        <f>IFERROR(Y97/Y7,0)</f>
        <v>0.36256167911244247</v>
      </c>
      <c r="Z104" s="54">
        <f>IFERROR(Z97/Z7,0)</f>
        <v>0.36256167911244247</v>
      </c>
      <c r="AA104" s="54">
        <f>IFERROR(AA97/AA7,0)</f>
        <v>0.36256167911244247</v>
      </c>
      <c r="AB104" s="54">
        <f>IFERROR(AB97/AB7,0)</f>
        <v>0.36256167911244247</v>
      </c>
      <c r="AC104" s="54">
        <f>IFERROR(AC97/AC7,0)</f>
        <v>0.36256167911244247</v>
      </c>
      <c r="AD104" s="54">
        <f>IFERROR(AD97/AD7,0)</f>
        <v>0.36256167911244247</v>
      </c>
      <c r="AE104" s="54">
        <f>IFERROR(AE97/AE7,0)</f>
        <v>0.36256167911244247</v>
      </c>
      <c r="AF104" s="54">
        <f>IFERROR(AF97/AF7,0)</f>
        <v>0.36256167911244247</v>
      </c>
      <c r="AG104" s="54">
        <f>IFERROR(AG97/AG7,0)</f>
        <v>0.36256167911244247</v>
      </c>
      <c r="AH104" s="54">
        <f>IFERROR(AH97/AH7,0)</f>
        <v>0.36256167911244247</v>
      </c>
      <c r="AI104" s="54">
        <f>IFERROR(AI97/AI7,0)</f>
        <v>0.36256167911244247</v>
      </c>
      <c r="AJ104" s="54">
        <f>IFERROR(AJ97/AJ7,0)</f>
        <v>0.36256167911244247</v>
      </c>
      <c r="AK104" s="54">
        <f>IFERROR(AK97/AK7,0)</f>
        <v>0.36256167911244247</v>
      </c>
      <c r="AL104" s="54">
        <f>IFERROR(AL97/AL7,0)</f>
        <v>0.36256167911244247</v>
      </c>
      <c r="AM104" s="54">
        <f>IFERROR(AM97/AM7,0)</f>
        <v>0.36256167911244247</v>
      </c>
      <c r="AN104" s="54">
        <f>IFERROR(AN97/AN7,0)</f>
        <v>0.36256167911244247</v>
      </c>
      <c r="AO104" s="54">
        <f>IFERROR(AO97/AO7,0)</f>
        <v>0.36256167911244247</v>
      </c>
      <c r="AP104" s="54">
        <f>IFERROR(AP97/AP7,0)</f>
        <v>0.36256167911244247</v>
      </c>
      <c r="AQ104" s="54">
        <f>IFERROR(AQ97/AQ7,0)</f>
        <v>0.36256167911244247</v>
      </c>
      <c r="AR104" s="54">
        <f>IFERROR(AR97/AR7,0)</f>
        <v>0.36256167911244247</v>
      </c>
      <c r="AS104" s="54">
        <f>IFERROR(AS97/AS7,0)</f>
        <v>0.36256167911244247</v>
      </c>
      <c r="AT104" s="54">
        <f>IFERROR(AT97/AT7,0)</f>
        <v>0.36256167911244247</v>
      </c>
      <c r="AU104" s="54">
        <f>IFERROR(AU97/AU7,0)</f>
        <v>0.36256167911244247</v>
      </c>
      <c r="AV104" s="54">
        <f>IFERROR(AV97/AV7,0)</f>
        <v>0.36256167911244247</v>
      </c>
      <c r="AW104" s="54">
        <f>IFERROR(AW97/AW7,0)</f>
        <v>0.36256167911244247</v>
      </c>
      <c r="AX104" s="54">
        <f>IFERROR(AX97/AX7,0)</f>
        <v>0.36256167911244247</v>
      </c>
      <c r="AY104" s="54">
        <f>IFERROR(AY97/AY7,0)</f>
        <v>0.36256167911244247</v>
      </c>
      <c r="AZ104" s="54">
        <f>IFERROR(AZ97/AZ7,0)</f>
        <v>0.36256167911244247</v>
      </c>
      <c r="BA104" s="54">
        <f>IFERROR(BA97/BA7,0)</f>
        <v>0.36256167911244247</v>
      </c>
      <c r="BB104" s="54">
        <f>IFERROR(BB97/BB7,0)</f>
        <v>0.36256167911244247</v>
      </c>
      <c r="BC104" s="54">
        <f>IFERROR(BC97/BC7,0)</f>
        <v>0.36256167911244247</v>
      </c>
      <c r="BD104" s="54">
        <f>IFERROR(BD97/BD7,0)</f>
        <v>0.36256167911244247</v>
      </c>
      <c r="BE104" s="54">
        <f>IFERROR(BE97/BE7,0)</f>
        <v>0.36256167911244247</v>
      </c>
      <c r="BF104" s="54">
        <f>IFERROR(BF97/BF7,0)</f>
        <v>0.36256167911244247</v>
      </c>
      <c r="BG104" s="54">
        <f>IFERROR(BG97/BG7,0)</f>
        <v>0.36256167911244247</v>
      </c>
      <c r="BH104" s="54">
        <f>IFERROR(BH97/BH7,0)</f>
        <v>0.36256167911244247</v>
      </c>
      <c r="BI104" s="54">
        <f>IFERROR(BI97/BI7,0)</f>
        <v>0.36256167911244247</v>
      </c>
      <c r="BJ104" s="54">
        <f>IFERROR(BJ97/BJ7,0)</f>
        <v>0.36256167911244247</v>
      </c>
      <c r="BK104" s="54">
        <f>IFERROR(BK97/BK7,0)</f>
        <v>0.36256167911244247</v>
      </c>
      <c r="BL104" s="54">
        <f>IFERROR(BL97/BL7,0)</f>
        <v>0.36256167911244247</v>
      </c>
      <c r="BM104" s="54">
        <f>IFERROR(BM97/BM7,0)</f>
        <v>0.36256167911244247</v>
      </c>
      <c r="BN104" s="54">
        <f>IFERROR(BN97/BN7,0)</f>
        <v>0.36256167911244247</v>
      </c>
      <c r="BO104" s="54">
        <f>IFERROR(BO97/BO7,0)</f>
        <v>0.36256167911244247</v>
      </c>
    </row>
    <row r="105" ht="15" customHeight="1">
      <c r="A105" s="49" t="inlineStr">
        <is>
          <t>Indirect Labor — % of Net Revenue</t>
        </is>
      </c>
      <c r="C105" s="54">
        <f>IFERROR(C102/C7,0)</f>
        <v>0.33191039173507975</v>
      </c>
      <c r="D105" s="54">
        <f>IFERROR(D102/D7,0)</f>
        <v>0.33191039173507975</v>
      </c>
      <c r="E105" s="54">
        <f>IFERROR(E102/E7,0)</f>
        <v>0.33191039173507975</v>
      </c>
      <c r="F105" s="54">
        <f>IFERROR(F102/F7,0)</f>
        <v>0.33191039173507975</v>
      </c>
      <c r="G105" s="54">
        <f>IFERROR(G102/G7,0)</f>
        <v>0.33191039173507975</v>
      </c>
      <c r="H105" s="54">
        <f>IFERROR(H102/H7,0)</f>
        <v>0.33191039173507975</v>
      </c>
      <c r="I105" s="54">
        <f>IFERROR(I102/I7,0)</f>
        <v>0.33191039173507975</v>
      </c>
      <c r="J105" s="54">
        <f>IFERROR(J102/J7,0)</f>
        <v>0.33191039173507975</v>
      </c>
      <c r="K105" s="54">
        <f>IFERROR(K102/K7,0)</f>
        <v>0.33191039173507975</v>
      </c>
      <c r="L105" s="54">
        <f>IFERROR(L102/L7,0)</f>
        <v>0.33191039173507975</v>
      </c>
      <c r="M105" s="54">
        <f>IFERROR(M102/M7,0)</f>
        <v>0.33191039173507975</v>
      </c>
      <c r="N105" s="54">
        <f>IFERROR(N102/N7,0)</f>
        <v>0.33191039173507975</v>
      </c>
      <c r="O105" s="54">
        <f>IFERROR(O102/O7,0)</f>
        <v>0.33191039173507969</v>
      </c>
      <c r="P105" s="54">
        <f>IFERROR(P102/P7,0)</f>
        <v>0.32873421573761491</v>
      </c>
      <c r="Q105" s="54">
        <f>IFERROR(Q102/Q7,0)</f>
        <v>0.32873421573761491</v>
      </c>
      <c r="R105" s="54">
        <f>IFERROR(R102/R7,0)</f>
        <v>0.32873421573761491</v>
      </c>
      <c r="S105" s="54">
        <f>IFERROR(S102/S7,0)</f>
        <v>0.32873421573761491</v>
      </c>
      <c r="T105" s="54">
        <f>IFERROR(T102/T7,0)</f>
        <v>0.32873421573761491</v>
      </c>
      <c r="U105" s="54">
        <f>IFERROR(U102/U7,0)</f>
        <v>0.32873421573761491</v>
      </c>
      <c r="V105" s="54">
        <f>IFERROR(V102/V7,0)</f>
        <v>0.32873421573761491</v>
      </c>
      <c r="W105" s="54">
        <f>IFERROR(W102/W7,0)</f>
        <v>0.32873421573761491</v>
      </c>
      <c r="X105" s="54">
        <f>IFERROR(X102/X7,0)</f>
        <v>0.32873421573761491</v>
      </c>
      <c r="Y105" s="54">
        <f>IFERROR(Y102/Y7,0)</f>
        <v>0.32873421573761491</v>
      </c>
      <c r="Z105" s="54">
        <f>IFERROR(Z102/Z7,0)</f>
        <v>0.32873421573761491</v>
      </c>
      <c r="AA105" s="54">
        <f>IFERROR(AA102/AA7,0)</f>
        <v>0.32873421573761491</v>
      </c>
      <c r="AB105" s="54">
        <f>IFERROR(AB102/AB7,0)</f>
        <v>0.32873421573761485</v>
      </c>
      <c r="AC105" s="54">
        <f>IFERROR(AC102/AC7,0)</f>
        <v>0.32558843376883384</v>
      </c>
      <c r="AD105" s="54">
        <f>IFERROR(AD102/AD7,0)</f>
        <v>0.32558843376883384</v>
      </c>
      <c r="AE105" s="54">
        <f>IFERROR(AE102/AE7,0)</f>
        <v>0.32558843376883384</v>
      </c>
      <c r="AF105" s="54">
        <f>IFERROR(AF102/AF7,0)</f>
        <v>0.32558843376883384</v>
      </c>
      <c r="AG105" s="54">
        <f>IFERROR(AG102/AG7,0)</f>
        <v>0.32558843376883384</v>
      </c>
      <c r="AH105" s="54">
        <f>IFERROR(AH102/AH7,0)</f>
        <v>0.32558843376883384</v>
      </c>
      <c r="AI105" s="54">
        <f>IFERROR(AI102/AI7,0)</f>
        <v>0.32558843376883384</v>
      </c>
      <c r="AJ105" s="54">
        <f>IFERROR(AJ102/AJ7,0)</f>
        <v>0.32558843376883384</v>
      </c>
      <c r="AK105" s="54">
        <f>IFERROR(AK102/AK7,0)</f>
        <v>0.32558843376883384</v>
      </c>
      <c r="AL105" s="54">
        <f>IFERROR(AL102/AL7,0)</f>
        <v>0.32558843376883384</v>
      </c>
      <c r="AM105" s="54">
        <f>IFERROR(AM102/AM7,0)</f>
        <v>0.32558843376883384</v>
      </c>
      <c r="AN105" s="54">
        <f>IFERROR(AN102/AN7,0)</f>
        <v>0.32558843376883384</v>
      </c>
      <c r="AO105" s="54">
        <f>IFERROR(AO102/AO7,0)</f>
        <v>0.3255884337688339</v>
      </c>
      <c r="AP105" s="54">
        <f>IFERROR(AP102/AP7,0)</f>
        <v>0.32247275497678762</v>
      </c>
      <c r="AQ105" s="54">
        <f>IFERROR(AQ102/AQ7,0)</f>
        <v>0.32247275497678762</v>
      </c>
      <c r="AR105" s="54">
        <f>IFERROR(AR102/AR7,0)</f>
        <v>0.32247275497678762</v>
      </c>
      <c r="AS105" s="54">
        <f>IFERROR(AS102/AS7,0)</f>
        <v>0.32247275497678762</v>
      </c>
      <c r="AT105" s="54">
        <f>IFERROR(AT102/AT7,0)</f>
        <v>0.32247275497678762</v>
      </c>
      <c r="AU105" s="54">
        <f>IFERROR(AU102/AU7,0)</f>
        <v>0.32247275497678762</v>
      </c>
      <c r="AV105" s="54">
        <f>IFERROR(AV102/AV7,0)</f>
        <v>0.32247275497678762</v>
      </c>
      <c r="AW105" s="54">
        <f>IFERROR(AW102/AW7,0)</f>
        <v>0.32247275497678762</v>
      </c>
      <c r="AX105" s="54">
        <f>IFERROR(AX102/AX7,0)</f>
        <v>0.32247275497678762</v>
      </c>
      <c r="AY105" s="54">
        <f>IFERROR(AY102/AY7,0)</f>
        <v>0.32247275497678762</v>
      </c>
      <c r="AZ105" s="54">
        <f>IFERROR(AZ102/AZ7,0)</f>
        <v>0.32247275497678762</v>
      </c>
      <c r="BA105" s="54">
        <f>IFERROR(BA102/BA7,0)</f>
        <v>0.32247275497678762</v>
      </c>
      <c r="BB105" s="54">
        <f>IFERROR(BB102/BB7,0)</f>
        <v>0.32247275497678762</v>
      </c>
      <c r="BC105" s="54">
        <f>IFERROR(BC102/BC7,0)</f>
        <v>0.31938689129279924</v>
      </c>
      <c r="BD105" s="54">
        <f>IFERROR(BD102/BD7,0)</f>
        <v>0.31938689129279924</v>
      </c>
      <c r="BE105" s="54">
        <f>IFERROR(BE102/BE7,0)</f>
        <v>0.31938689129279924</v>
      </c>
      <c r="BF105" s="54">
        <f>IFERROR(BF102/BF7,0)</f>
        <v>0.31938689129279924</v>
      </c>
      <c r="BG105" s="54">
        <f>IFERROR(BG102/BG7,0)</f>
        <v>0.31938689129279924</v>
      </c>
      <c r="BH105" s="54">
        <f>IFERROR(BH102/BH7,0)</f>
        <v>0.31938689129279924</v>
      </c>
      <c r="BI105" s="54">
        <f>IFERROR(BI102/BI7,0)</f>
        <v>0.31938689129279924</v>
      </c>
      <c r="BJ105" s="54">
        <f>IFERROR(BJ102/BJ7,0)</f>
        <v>0.31938689129279924</v>
      </c>
      <c r="BK105" s="54">
        <f>IFERROR(BK102/BK7,0)</f>
        <v>0.31938689129279924</v>
      </c>
      <c r="BL105" s="54">
        <f>IFERROR(BL102/BL7,0)</f>
        <v>0.31938689129279924</v>
      </c>
      <c r="BM105" s="54">
        <f>IFERROR(BM102/BM7,0)</f>
        <v>0.31938689129279924</v>
      </c>
      <c r="BN105" s="54">
        <f>IFERROR(BN102/BN7,0)</f>
        <v>0.31938689129279924</v>
      </c>
      <c r="BO105" s="54">
        <f>IFERROR(BO102/BO7,0)</f>
        <v>0.31938689129279929</v>
      </c>
    </row>
    <row r="106" ht="15" customHeight="1">
      <c r="A106" s="51" t="inlineStr">
        <is>
          <t>Total Labor — % of Net Revenue</t>
        </is>
      </c>
      <c r="C106" s="57">
        <f>IFERROR(C103/C7,0)</f>
        <v>0.63947207084752222</v>
      </c>
      <c r="D106" s="57">
        <f>IFERROR(D103/D7,0)</f>
        <v>0.63947207084752222</v>
      </c>
      <c r="E106" s="57">
        <f>IFERROR(E103/E7,0)</f>
        <v>0.63947207084752222</v>
      </c>
      <c r="F106" s="57">
        <f>IFERROR(F103/F7,0)</f>
        <v>0.63947207084752222</v>
      </c>
      <c r="G106" s="57">
        <f>IFERROR(G103/G7,0)</f>
        <v>0.63947207084752222</v>
      </c>
      <c r="H106" s="57">
        <f>IFERROR(H103/H7,0)</f>
        <v>0.63947207084752222</v>
      </c>
      <c r="I106" s="57">
        <f>IFERROR(I103/I7,0)</f>
        <v>0.63947207084752222</v>
      </c>
      <c r="J106" s="57">
        <f>IFERROR(J103/J7,0)</f>
        <v>0.63947207084752222</v>
      </c>
      <c r="K106" s="57">
        <f>IFERROR(K103/K7,0)</f>
        <v>0.63947207084752222</v>
      </c>
      <c r="L106" s="57">
        <f>IFERROR(L103/L7,0)</f>
        <v>0.63947207084752222</v>
      </c>
      <c r="M106" s="57">
        <f>IFERROR(M103/M7,0)</f>
        <v>0.63947207084752222</v>
      </c>
      <c r="N106" s="57">
        <f>IFERROR(N103/N7,0)</f>
        <v>0.63947207084752222</v>
      </c>
      <c r="O106" s="57">
        <f>IFERROR(O103/O7,0)</f>
        <v>0.63947207084752211</v>
      </c>
      <c r="P106" s="57">
        <f>IFERROR(P103/P7,0)</f>
        <v>0.69129589485005738</v>
      </c>
      <c r="Q106" s="57">
        <f>IFERROR(Q103/Q7,0)</f>
        <v>0.69129589485005738</v>
      </c>
      <c r="R106" s="57">
        <f>IFERROR(R103/R7,0)</f>
        <v>0.69129589485005738</v>
      </c>
      <c r="S106" s="57">
        <f>IFERROR(S103/S7,0)</f>
        <v>0.69129589485005738</v>
      </c>
      <c r="T106" s="57">
        <f>IFERROR(T103/T7,0)</f>
        <v>0.69129589485005738</v>
      </c>
      <c r="U106" s="57">
        <f>IFERROR(U103/U7,0)</f>
        <v>0.69129589485005738</v>
      </c>
      <c r="V106" s="57">
        <f>IFERROR(V103/V7,0)</f>
        <v>0.69129589485005738</v>
      </c>
      <c r="W106" s="57">
        <f>IFERROR(W103/W7,0)</f>
        <v>0.69129589485005738</v>
      </c>
      <c r="X106" s="57">
        <f>IFERROR(X103/X7,0)</f>
        <v>0.69129589485005738</v>
      </c>
      <c r="Y106" s="57">
        <f>IFERROR(Y103/Y7,0)</f>
        <v>0.69129589485005738</v>
      </c>
      <c r="Z106" s="57">
        <f>IFERROR(Z103/Z7,0)</f>
        <v>0.69129589485005738</v>
      </c>
      <c r="AA106" s="57">
        <f>IFERROR(AA103/AA7,0)</f>
        <v>0.69129589485005738</v>
      </c>
      <c r="AB106" s="57">
        <f>IFERROR(AB103/AB7,0)</f>
        <v>0.69129589485005738</v>
      </c>
      <c r="AC106" s="57">
        <f>IFERROR(AC103/AC7,0)</f>
        <v>0.68815011288127625</v>
      </c>
      <c r="AD106" s="57">
        <f>IFERROR(AD103/AD7,0)</f>
        <v>0.68815011288127625</v>
      </c>
      <c r="AE106" s="57">
        <f>IFERROR(AE103/AE7,0)</f>
        <v>0.68815011288127625</v>
      </c>
      <c r="AF106" s="57">
        <f>IFERROR(AF103/AF7,0)</f>
        <v>0.68815011288127625</v>
      </c>
      <c r="AG106" s="57">
        <f>IFERROR(AG103/AG7,0)</f>
        <v>0.68815011288127625</v>
      </c>
      <c r="AH106" s="57">
        <f>IFERROR(AH103/AH7,0)</f>
        <v>0.68815011288127625</v>
      </c>
      <c r="AI106" s="57">
        <f>IFERROR(AI103/AI7,0)</f>
        <v>0.68815011288127625</v>
      </c>
      <c r="AJ106" s="57">
        <f>IFERROR(AJ103/AJ7,0)</f>
        <v>0.68815011288127625</v>
      </c>
      <c r="AK106" s="57">
        <f>IFERROR(AK103/AK7,0)</f>
        <v>0.68815011288127625</v>
      </c>
      <c r="AL106" s="57">
        <f>IFERROR(AL103/AL7,0)</f>
        <v>0.68815011288127625</v>
      </c>
      <c r="AM106" s="57">
        <f>IFERROR(AM103/AM7,0)</f>
        <v>0.68815011288127625</v>
      </c>
      <c r="AN106" s="57">
        <f>IFERROR(AN103/AN7,0)</f>
        <v>0.68815011288127625</v>
      </c>
      <c r="AO106" s="57">
        <f>IFERROR(AO103/AO7,0)</f>
        <v>0.68815011288127648</v>
      </c>
      <c r="AP106" s="57">
        <f>IFERROR(AP103/AP7,0)</f>
        <v>0.68503443408923015</v>
      </c>
      <c r="AQ106" s="57">
        <f>IFERROR(AQ103/AQ7,0)</f>
        <v>0.68503443408923015</v>
      </c>
      <c r="AR106" s="57">
        <f>IFERROR(AR103/AR7,0)</f>
        <v>0.68503443408923015</v>
      </c>
      <c r="AS106" s="57">
        <f>IFERROR(AS103/AS7,0)</f>
        <v>0.68503443408923015</v>
      </c>
      <c r="AT106" s="57">
        <f>IFERROR(AT103/AT7,0)</f>
        <v>0.68503443408923015</v>
      </c>
      <c r="AU106" s="57">
        <f>IFERROR(AU103/AU7,0)</f>
        <v>0.68503443408923015</v>
      </c>
      <c r="AV106" s="57">
        <f>IFERROR(AV103/AV7,0)</f>
        <v>0.68503443408923015</v>
      </c>
      <c r="AW106" s="57">
        <f>IFERROR(AW103/AW7,0)</f>
        <v>0.68503443408923015</v>
      </c>
      <c r="AX106" s="57">
        <f>IFERROR(AX103/AX7,0)</f>
        <v>0.68503443408923015</v>
      </c>
      <c r="AY106" s="57">
        <f>IFERROR(AY103/AY7,0)</f>
        <v>0.68503443408923015</v>
      </c>
      <c r="AZ106" s="57">
        <f>IFERROR(AZ103/AZ7,0)</f>
        <v>0.68503443408923015</v>
      </c>
      <c r="BA106" s="57">
        <f>IFERROR(BA103/BA7,0)</f>
        <v>0.68503443408923015</v>
      </c>
      <c r="BB106" s="57">
        <f>IFERROR(BB103/BB7,0)</f>
        <v>0.68503443408923004</v>
      </c>
      <c r="BC106" s="57">
        <f>IFERROR(BC103/BC7,0)</f>
        <v>0.68194857040524171</v>
      </c>
      <c r="BD106" s="57">
        <f>IFERROR(BD103/BD7,0)</f>
        <v>0.68194857040524171</v>
      </c>
      <c r="BE106" s="57">
        <f>IFERROR(BE103/BE7,0)</f>
        <v>0.68194857040524171</v>
      </c>
      <c r="BF106" s="57">
        <f>IFERROR(BF103/BF7,0)</f>
        <v>0.68194857040524171</v>
      </c>
      <c r="BG106" s="57">
        <f>IFERROR(BG103/BG7,0)</f>
        <v>0.68194857040524171</v>
      </c>
      <c r="BH106" s="57">
        <f>IFERROR(BH103/BH7,0)</f>
        <v>0.68194857040524171</v>
      </c>
      <c r="BI106" s="57">
        <f>IFERROR(BI103/BI7,0)</f>
        <v>0.68194857040524171</v>
      </c>
      <c r="BJ106" s="57">
        <f>IFERROR(BJ103/BJ7,0)</f>
        <v>0.68194857040524171</v>
      </c>
      <c r="BK106" s="57">
        <f>IFERROR(BK103/BK7,0)</f>
        <v>0.68194857040524171</v>
      </c>
      <c r="BL106" s="57">
        <f>IFERROR(BL103/BL7,0)</f>
        <v>0.68194857040524171</v>
      </c>
      <c r="BM106" s="57">
        <f>IFERROR(BM103/BM7,0)</f>
        <v>0.68194857040524171</v>
      </c>
      <c r="BN106" s="57">
        <f>IFERROR(BN103/BN7,0)</f>
        <v>0.68194857040524171</v>
      </c>
      <c r="BO106" s="57">
        <f>IFERROR(BO103/BO7,0)</f>
        <v>0.68194857040524182</v>
      </c>
    </row>
    <row r="107"/>
    <row r="108" ht="15" customHeight="1">
      <c r="A108" s="44" t="inlineStr">
        <is>
          <t>Schedule 2 — Fixed Assets &amp; Intangible Amortization</t>
        </is>
      </c>
    </row>
    <row r="109" ht="15" customHeight="1">
      <c r="A109" s="47" t="n"/>
      <c r="B109" s="48" t="inlineStr">
        <is>
          <t>At Close</t>
        </is>
      </c>
      <c r="C109" s="48" t="inlineStr">
        <is>
          <t>M1</t>
        </is>
      </c>
      <c r="D109" s="48" t="inlineStr">
        <is>
          <t>M2</t>
        </is>
      </c>
      <c r="E109" s="48" t="inlineStr">
        <is>
          <t>M3</t>
        </is>
      </c>
      <c r="F109" s="48" t="inlineStr">
        <is>
          <t>M4</t>
        </is>
      </c>
      <c r="G109" s="48" t="inlineStr">
        <is>
          <t>M5</t>
        </is>
      </c>
      <c r="H109" s="48" t="inlineStr">
        <is>
          <t>M6</t>
        </is>
      </c>
      <c r="I109" s="48" t="inlineStr">
        <is>
          <t>M7</t>
        </is>
      </c>
      <c r="J109" s="48" t="inlineStr">
        <is>
          <t>M8</t>
        </is>
      </c>
      <c r="K109" s="48" t="inlineStr">
        <is>
          <t>M9</t>
        </is>
      </c>
      <c r="L109" s="48" t="inlineStr">
        <is>
          <t>M10</t>
        </is>
      </c>
      <c r="M109" s="48" t="inlineStr">
        <is>
          <t>M11</t>
        </is>
      </c>
      <c r="N109" s="48" t="inlineStr">
        <is>
          <t>M12</t>
        </is>
      </c>
      <c r="O109" s="48" t="inlineStr">
        <is>
          <t>Year 1</t>
        </is>
      </c>
      <c r="P109" s="48" t="inlineStr">
        <is>
          <t>M1</t>
        </is>
      </c>
      <c r="Q109" s="48" t="inlineStr">
        <is>
          <t>M2</t>
        </is>
      </c>
      <c r="R109" s="48" t="inlineStr">
        <is>
          <t>M3</t>
        </is>
      </c>
      <c r="S109" s="48" t="inlineStr">
        <is>
          <t>M4</t>
        </is>
      </c>
      <c r="T109" s="48" t="inlineStr">
        <is>
          <t>M5</t>
        </is>
      </c>
      <c r="U109" s="48" t="inlineStr">
        <is>
          <t>M6</t>
        </is>
      </c>
      <c r="V109" s="48" t="inlineStr">
        <is>
          <t>M7</t>
        </is>
      </c>
      <c r="W109" s="48" t="inlineStr">
        <is>
          <t>M8</t>
        </is>
      </c>
      <c r="X109" s="48" t="inlineStr">
        <is>
          <t>M9</t>
        </is>
      </c>
      <c r="Y109" s="48" t="inlineStr">
        <is>
          <t>M10</t>
        </is>
      </c>
      <c r="Z109" s="48" t="inlineStr">
        <is>
          <t>M11</t>
        </is>
      </c>
      <c r="AA109" s="48" t="inlineStr">
        <is>
          <t>M12</t>
        </is>
      </c>
      <c r="AB109" s="48" t="inlineStr">
        <is>
          <t>Year 2</t>
        </is>
      </c>
      <c r="AC109" s="48" t="inlineStr">
        <is>
          <t>M1</t>
        </is>
      </c>
      <c r="AD109" s="48" t="inlineStr">
        <is>
          <t>M2</t>
        </is>
      </c>
      <c r="AE109" s="48" t="inlineStr">
        <is>
          <t>M3</t>
        </is>
      </c>
      <c r="AF109" s="48" t="inlineStr">
        <is>
          <t>M4</t>
        </is>
      </c>
      <c r="AG109" s="48" t="inlineStr">
        <is>
          <t>M5</t>
        </is>
      </c>
      <c r="AH109" s="48" t="inlineStr">
        <is>
          <t>M6</t>
        </is>
      </c>
      <c r="AI109" s="48" t="inlineStr">
        <is>
          <t>M7</t>
        </is>
      </c>
      <c r="AJ109" s="48" t="inlineStr">
        <is>
          <t>M8</t>
        </is>
      </c>
      <c r="AK109" s="48" t="inlineStr">
        <is>
          <t>M9</t>
        </is>
      </c>
      <c r="AL109" s="48" t="inlineStr">
        <is>
          <t>M10</t>
        </is>
      </c>
      <c r="AM109" s="48" t="inlineStr">
        <is>
          <t>M11</t>
        </is>
      </c>
      <c r="AN109" s="48" t="inlineStr">
        <is>
          <t>M12</t>
        </is>
      </c>
      <c r="AO109" s="48" t="inlineStr">
        <is>
          <t>Year 3</t>
        </is>
      </c>
      <c r="AP109" s="48" t="inlineStr">
        <is>
          <t>M1</t>
        </is>
      </c>
      <c r="AQ109" s="48" t="inlineStr">
        <is>
          <t>M2</t>
        </is>
      </c>
      <c r="AR109" s="48" t="inlineStr">
        <is>
          <t>M3</t>
        </is>
      </c>
      <c r="AS109" s="48" t="inlineStr">
        <is>
          <t>M4</t>
        </is>
      </c>
      <c r="AT109" s="48" t="inlineStr">
        <is>
          <t>M5</t>
        </is>
      </c>
      <c r="AU109" s="48" t="inlineStr">
        <is>
          <t>M6</t>
        </is>
      </c>
      <c r="AV109" s="48" t="inlineStr">
        <is>
          <t>M7</t>
        </is>
      </c>
      <c r="AW109" s="48" t="inlineStr">
        <is>
          <t>M8</t>
        </is>
      </c>
      <c r="AX109" s="48" t="inlineStr">
        <is>
          <t>M9</t>
        </is>
      </c>
      <c r="AY109" s="48" t="inlineStr">
        <is>
          <t>M10</t>
        </is>
      </c>
      <c r="AZ109" s="48" t="inlineStr">
        <is>
          <t>M11</t>
        </is>
      </c>
      <c r="BA109" s="48" t="inlineStr">
        <is>
          <t>M12</t>
        </is>
      </c>
      <c r="BB109" s="48" t="inlineStr">
        <is>
          <t>Year 4</t>
        </is>
      </c>
      <c r="BC109" s="48" t="inlineStr">
        <is>
          <t>M1</t>
        </is>
      </c>
      <c r="BD109" s="48" t="inlineStr">
        <is>
          <t>M2</t>
        </is>
      </c>
      <c r="BE109" s="48" t="inlineStr">
        <is>
          <t>M3</t>
        </is>
      </c>
      <c r="BF109" s="48" t="inlineStr">
        <is>
          <t>M4</t>
        </is>
      </c>
      <c r="BG109" s="48" t="inlineStr">
        <is>
          <t>M5</t>
        </is>
      </c>
      <c r="BH109" s="48" t="inlineStr">
        <is>
          <t>M6</t>
        </is>
      </c>
      <c r="BI109" s="48" t="inlineStr">
        <is>
          <t>M7</t>
        </is>
      </c>
      <c r="BJ109" s="48" t="inlineStr">
        <is>
          <t>M8</t>
        </is>
      </c>
      <c r="BK109" s="48" t="inlineStr">
        <is>
          <t>M9</t>
        </is>
      </c>
      <c r="BL109" s="48" t="inlineStr">
        <is>
          <t>M10</t>
        </is>
      </c>
      <c r="BM109" s="48" t="inlineStr">
        <is>
          <t>M11</t>
        </is>
      </c>
      <c r="BN109" s="48" t="inlineStr">
        <is>
          <t>M12</t>
        </is>
      </c>
      <c r="BO109" s="48" t="inlineStr">
        <is>
          <t>Year 5</t>
        </is>
      </c>
    </row>
    <row r="110" ht="15" customHeight="1">
      <c r="A110" s="49" t="inlineStr">
        <is>
          <t>Fixed Assets, Gross</t>
        </is>
      </c>
      <c r="B110" s="50">
        <f>Assumptions!E94</f>
        <v>0</v>
      </c>
      <c r="C110" s="50">
        <f>Assumptions!E94</f>
        <v>0</v>
      </c>
      <c r="D110" s="50">
        <f>Assumptions!E94</f>
        <v>0</v>
      </c>
      <c r="E110" s="50">
        <f>Assumptions!E94</f>
        <v>0</v>
      </c>
      <c r="F110" s="50">
        <f>Assumptions!E94</f>
        <v>0</v>
      </c>
      <c r="G110" s="50">
        <f>Assumptions!E94</f>
        <v>0</v>
      </c>
      <c r="H110" s="50">
        <f>Assumptions!E94</f>
        <v>0</v>
      </c>
      <c r="I110" s="50">
        <f>Assumptions!E94</f>
        <v>0</v>
      </c>
      <c r="J110" s="50">
        <f>Assumptions!E94</f>
        <v>0</v>
      </c>
      <c r="K110" s="50">
        <f>Assumptions!E94</f>
        <v>0</v>
      </c>
      <c r="L110" s="50">
        <f>Assumptions!E94</f>
        <v>0</v>
      </c>
      <c r="M110" s="50">
        <f>Assumptions!E94</f>
        <v>0</v>
      </c>
      <c r="N110" s="50">
        <f>Assumptions!E94</f>
        <v>0</v>
      </c>
      <c r="O110" s="50">
        <f>Assumptions!E94</f>
        <v>0</v>
      </c>
      <c r="P110" s="50">
        <f>Assumptions!E94</f>
        <v>0</v>
      </c>
      <c r="Q110" s="50">
        <f>Assumptions!E94</f>
        <v>0</v>
      </c>
      <c r="R110" s="50">
        <f>Assumptions!E94</f>
        <v>0</v>
      </c>
      <c r="S110" s="50">
        <f>Assumptions!E94</f>
        <v>0</v>
      </c>
      <c r="T110" s="50">
        <f>Assumptions!E94</f>
        <v>0</v>
      </c>
      <c r="U110" s="50">
        <f>Assumptions!E94</f>
        <v>0</v>
      </c>
      <c r="V110" s="50">
        <f>Assumptions!E94</f>
        <v>0</v>
      </c>
      <c r="W110" s="50">
        <f>Assumptions!E94</f>
        <v>0</v>
      </c>
      <c r="X110" s="50">
        <f>Assumptions!E94</f>
        <v>0</v>
      </c>
      <c r="Y110" s="50">
        <f>Assumptions!E94</f>
        <v>0</v>
      </c>
      <c r="Z110" s="50">
        <f>Assumptions!E94</f>
        <v>0</v>
      </c>
      <c r="AA110" s="50">
        <f>Assumptions!E94</f>
        <v>0</v>
      </c>
      <c r="AB110" s="50">
        <f>Assumptions!E94</f>
        <v>0</v>
      </c>
      <c r="AC110" s="50">
        <f>Assumptions!E94</f>
        <v>0</v>
      </c>
      <c r="AD110" s="50">
        <f>Assumptions!E94</f>
        <v>0</v>
      </c>
      <c r="AE110" s="50">
        <f>Assumptions!E94</f>
        <v>0</v>
      </c>
      <c r="AF110" s="50">
        <f>Assumptions!E94</f>
        <v>0</v>
      </c>
      <c r="AG110" s="50">
        <f>Assumptions!E94</f>
        <v>0</v>
      </c>
      <c r="AH110" s="50">
        <f>Assumptions!E94</f>
        <v>0</v>
      </c>
      <c r="AI110" s="50">
        <f>Assumptions!E94</f>
        <v>0</v>
      </c>
      <c r="AJ110" s="50">
        <f>Assumptions!E94</f>
        <v>0</v>
      </c>
      <c r="AK110" s="50">
        <f>Assumptions!E94</f>
        <v>0</v>
      </c>
      <c r="AL110" s="50">
        <f>Assumptions!E94</f>
        <v>0</v>
      </c>
      <c r="AM110" s="50">
        <f>Assumptions!E94</f>
        <v>0</v>
      </c>
      <c r="AN110" s="50">
        <f>Assumptions!E94</f>
        <v>0</v>
      </c>
      <c r="AO110" s="50">
        <f>Assumptions!E94</f>
        <v>0</v>
      </c>
      <c r="AP110" s="50">
        <f>Assumptions!E94</f>
        <v>0</v>
      </c>
      <c r="AQ110" s="50">
        <f>Assumptions!E94</f>
        <v>0</v>
      </c>
      <c r="AR110" s="50">
        <f>Assumptions!E94</f>
        <v>0</v>
      </c>
      <c r="AS110" s="50">
        <f>Assumptions!E94</f>
        <v>0</v>
      </c>
      <c r="AT110" s="50">
        <f>Assumptions!E94</f>
        <v>0</v>
      </c>
      <c r="AU110" s="50">
        <f>Assumptions!E94</f>
        <v>0</v>
      </c>
      <c r="AV110" s="50">
        <f>Assumptions!E94</f>
        <v>0</v>
      </c>
      <c r="AW110" s="50">
        <f>Assumptions!E94</f>
        <v>0</v>
      </c>
      <c r="AX110" s="50">
        <f>Assumptions!E94</f>
        <v>0</v>
      </c>
      <c r="AY110" s="50">
        <f>Assumptions!E94</f>
        <v>0</v>
      </c>
      <c r="AZ110" s="50">
        <f>Assumptions!E94</f>
        <v>0</v>
      </c>
      <c r="BA110" s="50">
        <f>Assumptions!E94</f>
        <v>0</v>
      </c>
      <c r="BB110" s="50">
        <f>Assumptions!E94</f>
        <v>0</v>
      </c>
      <c r="BC110" s="50">
        <f>Assumptions!E94</f>
        <v>0</v>
      </c>
      <c r="BD110" s="50">
        <f>Assumptions!E94</f>
        <v>0</v>
      </c>
      <c r="BE110" s="50">
        <f>Assumptions!E94</f>
        <v>0</v>
      </c>
      <c r="BF110" s="50">
        <f>Assumptions!E94</f>
        <v>0</v>
      </c>
      <c r="BG110" s="50">
        <f>Assumptions!E94</f>
        <v>0</v>
      </c>
      <c r="BH110" s="50">
        <f>Assumptions!E94</f>
        <v>0</v>
      </c>
      <c r="BI110" s="50">
        <f>Assumptions!E94</f>
        <v>0</v>
      </c>
      <c r="BJ110" s="50">
        <f>Assumptions!E94</f>
        <v>0</v>
      </c>
      <c r="BK110" s="50">
        <f>Assumptions!E94</f>
        <v>0</v>
      </c>
      <c r="BL110" s="50">
        <f>Assumptions!E94</f>
        <v>0</v>
      </c>
      <c r="BM110" s="50">
        <f>Assumptions!E94</f>
        <v>0</v>
      </c>
      <c r="BN110" s="50">
        <f>Assumptions!E94</f>
        <v>0</v>
      </c>
      <c r="BO110" s="50">
        <f>Assumptions!E94</f>
        <v>0</v>
      </c>
    </row>
    <row r="111" ht="15" customHeight="1">
      <c r="A111" s="49" t="inlineStr">
        <is>
          <t>Accumulated Depreciation</t>
        </is>
      </c>
      <c r="B111" s="50">
        <f>-MIN(Assumptions!E94,Assumptions!E99*0)</f>
        <v>-0</v>
      </c>
      <c r="C111" s="50">
        <f>$B111+($O111-$B111)*1/12</f>
        <v>0</v>
      </c>
      <c r="D111" s="50">
        <f>$B111+($O111-$B111)*2/12</f>
        <v>0</v>
      </c>
      <c r="E111" s="50">
        <f>$B111+($O111-$B111)*3/12</f>
        <v>0</v>
      </c>
      <c r="F111" s="50">
        <f>$B111+($O111-$B111)*4/12</f>
        <v>0</v>
      </c>
      <c r="G111" s="50">
        <f>$B111+($O111-$B111)*5/12</f>
        <v>0</v>
      </c>
      <c r="H111" s="50">
        <f>$B111+($O111-$B111)*6/12</f>
        <v>0</v>
      </c>
      <c r="I111" s="50">
        <f>$B111+($O111-$B111)*7/12</f>
        <v>0</v>
      </c>
      <c r="J111" s="50">
        <f>$B111+($O111-$B111)*8/12</f>
        <v>0</v>
      </c>
      <c r="K111" s="50">
        <f>$B111+($O111-$B111)*9/12</f>
        <v>0</v>
      </c>
      <c r="L111" s="50">
        <f>$B111+($O111-$B111)*10/12</f>
        <v>0</v>
      </c>
      <c r="M111" s="50">
        <f>$B111+($O111-$B111)*11/12</f>
        <v>0</v>
      </c>
      <c r="N111" s="50">
        <f>$B111+($O111-$B111)*12/12</f>
        <v>0</v>
      </c>
      <c r="O111" s="50">
        <f>-MIN(Assumptions!E94,Assumptions!E99*1)</f>
        <v>-0</v>
      </c>
      <c r="P111" s="50">
        <f>$O111+($AB111-$O111)*1/12</f>
        <v>0</v>
      </c>
      <c r="Q111" s="50">
        <f>$O111+($AB111-$O111)*2/12</f>
        <v>0</v>
      </c>
      <c r="R111" s="50">
        <f>$O111+($AB111-$O111)*3/12</f>
        <v>0</v>
      </c>
      <c r="S111" s="50">
        <f>$O111+($AB111-$O111)*4/12</f>
        <v>0</v>
      </c>
      <c r="T111" s="50">
        <f>$O111+($AB111-$O111)*5/12</f>
        <v>0</v>
      </c>
      <c r="U111" s="50">
        <f>$O111+($AB111-$O111)*6/12</f>
        <v>0</v>
      </c>
      <c r="V111" s="50">
        <f>$O111+($AB111-$O111)*7/12</f>
        <v>0</v>
      </c>
      <c r="W111" s="50">
        <f>$O111+($AB111-$O111)*8/12</f>
        <v>0</v>
      </c>
      <c r="X111" s="50">
        <f>$O111+($AB111-$O111)*9/12</f>
        <v>0</v>
      </c>
      <c r="Y111" s="50">
        <f>$O111+($AB111-$O111)*10/12</f>
        <v>0</v>
      </c>
      <c r="Z111" s="50">
        <f>$O111+($AB111-$O111)*11/12</f>
        <v>0</v>
      </c>
      <c r="AA111" s="50">
        <f>$O111+($AB111-$O111)*12/12</f>
        <v>0</v>
      </c>
      <c r="AB111" s="50">
        <f>-MIN(Assumptions!E94,Assumptions!E99*2)</f>
        <v>-0</v>
      </c>
      <c r="AC111" s="50">
        <f>$AB111+($AO111-$AB111)*1/12</f>
        <v>0</v>
      </c>
      <c r="AD111" s="50">
        <f>$AB111+($AO111-$AB111)*2/12</f>
        <v>0</v>
      </c>
      <c r="AE111" s="50">
        <f>$AB111+($AO111-$AB111)*3/12</f>
        <v>0</v>
      </c>
      <c r="AF111" s="50">
        <f>$AB111+($AO111-$AB111)*4/12</f>
        <v>0</v>
      </c>
      <c r="AG111" s="50">
        <f>$AB111+($AO111-$AB111)*5/12</f>
        <v>0</v>
      </c>
      <c r="AH111" s="50">
        <f>$AB111+($AO111-$AB111)*6/12</f>
        <v>0</v>
      </c>
      <c r="AI111" s="50">
        <f>$AB111+($AO111-$AB111)*7/12</f>
        <v>0</v>
      </c>
      <c r="AJ111" s="50">
        <f>$AB111+($AO111-$AB111)*8/12</f>
        <v>0</v>
      </c>
      <c r="AK111" s="50">
        <f>$AB111+($AO111-$AB111)*9/12</f>
        <v>0</v>
      </c>
      <c r="AL111" s="50">
        <f>$AB111+($AO111-$AB111)*10/12</f>
        <v>0</v>
      </c>
      <c r="AM111" s="50">
        <f>$AB111+($AO111-$AB111)*11/12</f>
        <v>0</v>
      </c>
      <c r="AN111" s="50">
        <f>$AB111+($AO111-$AB111)*12/12</f>
        <v>0</v>
      </c>
      <c r="AO111" s="50">
        <f>-MIN(Assumptions!E94,Assumptions!E99*3)</f>
        <v>-0</v>
      </c>
      <c r="AP111" s="50">
        <f>$AO111+($BB111-$AO111)*1/12</f>
        <v>0</v>
      </c>
      <c r="AQ111" s="50">
        <f>$AO111+($BB111-$AO111)*2/12</f>
        <v>0</v>
      </c>
      <c r="AR111" s="50">
        <f>$AO111+($BB111-$AO111)*3/12</f>
        <v>0</v>
      </c>
      <c r="AS111" s="50">
        <f>$AO111+($BB111-$AO111)*4/12</f>
        <v>0</v>
      </c>
      <c r="AT111" s="50">
        <f>$AO111+($BB111-$AO111)*5/12</f>
        <v>0</v>
      </c>
      <c r="AU111" s="50">
        <f>$AO111+($BB111-$AO111)*6/12</f>
        <v>0</v>
      </c>
      <c r="AV111" s="50">
        <f>$AO111+($BB111-$AO111)*7/12</f>
        <v>0</v>
      </c>
      <c r="AW111" s="50">
        <f>$AO111+($BB111-$AO111)*8/12</f>
        <v>0</v>
      </c>
      <c r="AX111" s="50">
        <f>$AO111+($BB111-$AO111)*9/12</f>
        <v>0</v>
      </c>
      <c r="AY111" s="50">
        <f>$AO111+($BB111-$AO111)*10/12</f>
        <v>0</v>
      </c>
      <c r="AZ111" s="50">
        <f>$AO111+($BB111-$AO111)*11/12</f>
        <v>0</v>
      </c>
      <c r="BA111" s="50">
        <f>$AO111+($BB111-$AO111)*12/12</f>
        <v>0</v>
      </c>
      <c r="BB111" s="50">
        <f>-MIN(Assumptions!E94,Assumptions!E99*4)</f>
        <v>-0</v>
      </c>
      <c r="BC111" s="50">
        <f>$BB111+($BO111-$BB111)*1/12</f>
        <v>0</v>
      </c>
      <c r="BD111" s="50">
        <f>$BB111+($BO111-$BB111)*2/12</f>
        <v>0</v>
      </c>
      <c r="BE111" s="50">
        <f>$BB111+($BO111-$BB111)*3/12</f>
        <v>0</v>
      </c>
      <c r="BF111" s="50">
        <f>$BB111+($BO111-$BB111)*4/12</f>
        <v>0</v>
      </c>
      <c r="BG111" s="50">
        <f>$BB111+($BO111-$BB111)*5/12</f>
        <v>0</v>
      </c>
      <c r="BH111" s="50">
        <f>$BB111+($BO111-$BB111)*6/12</f>
        <v>0</v>
      </c>
      <c r="BI111" s="50">
        <f>$BB111+($BO111-$BB111)*7/12</f>
        <v>0</v>
      </c>
      <c r="BJ111" s="50">
        <f>$BB111+($BO111-$BB111)*8/12</f>
        <v>0</v>
      </c>
      <c r="BK111" s="50">
        <f>$BB111+($BO111-$BB111)*9/12</f>
        <v>0</v>
      </c>
      <c r="BL111" s="50">
        <f>$BB111+($BO111-$BB111)*10/12</f>
        <v>0</v>
      </c>
      <c r="BM111" s="50">
        <f>$BB111+($BO111-$BB111)*11/12</f>
        <v>0</v>
      </c>
      <c r="BN111" s="50">
        <f>$BB111+($BO111-$BB111)*12/12</f>
        <v>0</v>
      </c>
      <c r="BO111" s="50">
        <f>-MIN(Assumptions!E94,Assumptions!E99*5)</f>
        <v>-0</v>
      </c>
    </row>
    <row r="112" ht="15" customHeight="1">
      <c r="A112" s="51" t="inlineStr">
        <is>
          <t>Fixed Assets, Net</t>
        </is>
      </c>
      <c r="B112" s="52">
        <f>B110+B111</f>
        <v>0</v>
      </c>
      <c r="C112" s="52">
        <f>C110+C111</f>
        <v>0</v>
      </c>
      <c r="D112" s="52">
        <f>D110+D111</f>
        <v>0</v>
      </c>
      <c r="E112" s="52">
        <f>E110+E111</f>
        <v>0</v>
      </c>
      <c r="F112" s="52">
        <f>F110+F111</f>
        <v>0</v>
      </c>
      <c r="G112" s="52">
        <f>G110+G111</f>
        <v>0</v>
      </c>
      <c r="H112" s="52">
        <f>H110+H111</f>
        <v>0</v>
      </c>
      <c r="I112" s="52">
        <f>I110+I111</f>
        <v>0</v>
      </c>
      <c r="J112" s="52">
        <f>J110+J111</f>
        <v>0</v>
      </c>
      <c r="K112" s="52">
        <f>K110+K111</f>
        <v>0</v>
      </c>
      <c r="L112" s="52">
        <f>L110+L111</f>
        <v>0</v>
      </c>
      <c r="M112" s="52">
        <f>M110+M111</f>
        <v>0</v>
      </c>
      <c r="N112" s="52">
        <f>N110+N111</f>
        <v>0</v>
      </c>
      <c r="O112" s="52">
        <f>O110+O111</f>
        <v>0</v>
      </c>
      <c r="P112" s="52">
        <f>P110+P111</f>
        <v>0</v>
      </c>
      <c r="Q112" s="52">
        <f>Q110+Q111</f>
        <v>0</v>
      </c>
      <c r="R112" s="52">
        <f>R110+R111</f>
        <v>0</v>
      </c>
      <c r="S112" s="52">
        <f>S110+S111</f>
        <v>0</v>
      </c>
      <c r="T112" s="52">
        <f>T110+T111</f>
        <v>0</v>
      </c>
      <c r="U112" s="52">
        <f>U110+U111</f>
        <v>0</v>
      </c>
      <c r="V112" s="52">
        <f>V110+V111</f>
        <v>0</v>
      </c>
      <c r="W112" s="52">
        <f>W110+W111</f>
        <v>0</v>
      </c>
      <c r="X112" s="52">
        <f>X110+X111</f>
        <v>0</v>
      </c>
      <c r="Y112" s="52">
        <f>Y110+Y111</f>
        <v>0</v>
      </c>
      <c r="Z112" s="52">
        <f>Z110+Z111</f>
        <v>0</v>
      </c>
      <c r="AA112" s="52">
        <f>AA110+AA111</f>
        <v>0</v>
      </c>
      <c r="AB112" s="52">
        <f>AB110+AB111</f>
        <v>0</v>
      </c>
      <c r="AC112" s="52">
        <f>AC110+AC111</f>
        <v>0</v>
      </c>
      <c r="AD112" s="52">
        <f>AD110+AD111</f>
        <v>0</v>
      </c>
      <c r="AE112" s="52">
        <f>AE110+AE111</f>
        <v>0</v>
      </c>
      <c r="AF112" s="52">
        <f>AF110+AF111</f>
        <v>0</v>
      </c>
      <c r="AG112" s="52">
        <f>AG110+AG111</f>
        <v>0</v>
      </c>
      <c r="AH112" s="52">
        <f>AH110+AH111</f>
        <v>0</v>
      </c>
      <c r="AI112" s="52">
        <f>AI110+AI111</f>
        <v>0</v>
      </c>
      <c r="AJ112" s="52">
        <f>AJ110+AJ111</f>
        <v>0</v>
      </c>
      <c r="AK112" s="52">
        <f>AK110+AK111</f>
        <v>0</v>
      </c>
      <c r="AL112" s="52">
        <f>AL110+AL111</f>
        <v>0</v>
      </c>
      <c r="AM112" s="52">
        <f>AM110+AM111</f>
        <v>0</v>
      </c>
      <c r="AN112" s="52">
        <f>AN110+AN111</f>
        <v>0</v>
      </c>
      <c r="AO112" s="52">
        <f>AO110+AO111</f>
        <v>0</v>
      </c>
      <c r="AP112" s="52">
        <f>AP110+AP111</f>
        <v>0</v>
      </c>
      <c r="AQ112" s="52">
        <f>AQ110+AQ111</f>
        <v>0</v>
      </c>
      <c r="AR112" s="52">
        <f>AR110+AR111</f>
        <v>0</v>
      </c>
      <c r="AS112" s="52">
        <f>AS110+AS111</f>
        <v>0</v>
      </c>
      <c r="AT112" s="52">
        <f>AT110+AT111</f>
        <v>0</v>
      </c>
      <c r="AU112" s="52">
        <f>AU110+AU111</f>
        <v>0</v>
      </c>
      <c r="AV112" s="52">
        <f>AV110+AV111</f>
        <v>0</v>
      </c>
      <c r="AW112" s="52">
        <f>AW110+AW111</f>
        <v>0</v>
      </c>
      <c r="AX112" s="52">
        <f>AX110+AX111</f>
        <v>0</v>
      </c>
      <c r="AY112" s="52">
        <f>AY110+AY111</f>
        <v>0</v>
      </c>
      <c r="AZ112" s="52">
        <f>AZ110+AZ111</f>
        <v>0</v>
      </c>
      <c r="BA112" s="52">
        <f>BA110+BA111</f>
        <v>0</v>
      </c>
      <c r="BB112" s="52">
        <f>BB110+BB111</f>
        <v>0</v>
      </c>
      <c r="BC112" s="52">
        <f>BC110+BC111</f>
        <v>0</v>
      </c>
      <c r="BD112" s="52">
        <f>BD110+BD111</f>
        <v>0</v>
      </c>
      <c r="BE112" s="52">
        <f>BE110+BE111</f>
        <v>0</v>
      </c>
      <c r="BF112" s="52">
        <f>BF110+BF111</f>
        <v>0</v>
      </c>
      <c r="BG112" s="52">
        <f>BG110+BG111</f>
        <v>0</v>
      </c>
      <c r="BH112" s="52">
        <f>BH110+BH111</f>
        <v>0</v>
      </c>
      <c r="BI112" s="52">
        <f>BI110+BI111</f>
        <v>0</v>
      </c>
      <c r="BJ112" s="52">
        <f>BJ110+BJ111</f>
        <v>0</v>
      </c>
      <c r="BK112" s="52">
        <f>BK110+BK111</f>
        <v>0</v>
      </c>
      <c r="BL112" s="52">
        <f>BL110+BL111</f>
        <v>0</v>
      </c>
      <c r="BM112" s="52">
        <f>BM110+BM111</f>
        <v>0</v>
      </c>
      <c r="BN112" s="52">
        <f>BN110+BN111</f>
        <v>0</v>
      </c>
      <c r="BO112" s="52">
        <f>BO110+BO111</f>
        <v>0</v>
      </c>
    </row>
    <row r="113" ht="15" customHeight="1">
      <c r="A113" s="49" t="inlineStr">
        <is>
          <t>Depreciation Expense (Annual)</t>
        </is>
      </c>
      <c r="C113" s="50">
        <f>$O113/12</f>
        <v>0</v>
      </c>
      <c r="D113" s="50">
        <f>$O113/12</f>
        <v>0</v>
      </c>
      <c r="E113" s="50">
        <f>$O113/12</f>
        <v>0</v>
      </c>
      <c r="F113" s="50">
        <f>$O113/12</f>
        <v>0</v>
      </c>
      <c r="G113" s="50">
        <f>$O113/12</f>
        <v>0</v>
      </c>
      <c r="H113" s="50">
        <f>$O113/12</f>
        <v>0</v>
      </c>
      <c r="I113" s="50">
        <f>$O113/12</f>
        <v>0</v>
      </c>
      <c r="J113" s="50">
        <f>$O113/12</f>
        <v>0</v>
      </c>
      <c r="K113" s="50">
        <f>$O113/12</f>
        <v>0</v>
      </c>
      <c r="L113" s="50">
        <f>$O113/12</f>
        <v>0</v>
      </c>
      <c r="M113" s="50">
        <f>$O113/12</f>
        <v>0</v>
      </c>
      <c r="N113" s="50">
        <f>$O113/12</f>
        <v>0</v>
      </c>
      <c r="O113" s="50">
        <f>Assumptions!E99</f>
        <v>0</v>
      </c>
      <c r="P113" s="50">
        <f>$AB113/12</f>
        <v>0</v>
      </c>
      <c r="Q113" s="50">
        <f>$AB113/12</f>
        <v>0</v>
      </c>
      <c r="R113" s="50">
        <f>$AB113/12</f>
        <v>0</v>
      </c>
      <c r="S113" s="50">
        <f>$AB113/12</f>
        <v>0</v>
      </c>
      <c r="T113" s="50">
        <f>$AB113/12</f>
        <v>0</v>
      </c>
      <c r="U113" s="50">
        <f>$AB113/12</f>
        <v>0</v>
      </c>
      <c r="V113" s="50">
        <f>$AB113/12</f>
        <v>0</v>
      </c>
      <c r="W113" s="50">
        <f>$AB113/12</f>
        <v>0</v>
      </c>
      <c r="X113" s="50">
        <f>$AB113/12</f>
        <v>0</v>
      </c>
      <c r="Y113" s="50">
        <f>$AB113/12</f>
        <v>0</v>
      </c>
      <c r="Z113" s="50">
        <f>$AB113/12</f>
        <v>0</v>
      </c>
      <c r="AA113" s="50">
        <f>$AB113/12</f>
        <v>0</v>
      </c>
      <c r="AB113" s="50">
        <f>Assumptions!E99</f>
        <v>0</v>
      </c>
      <c r="AC113" s="50">
        <f>$AO113/12</f>
        <v>0</v>
      </c>
      <c r="AD113" s="50">
        <f>$AO113/12</f>
        <v>0</v>
      </c>
      <c r="AE113" s="50">
        <f>$AO113/12</f>
        <v>0</v>
      </c>
      <c r="AF113" s="50">
        <f>$AO113/12</f>
        <v>0</v>
      </c>
      <c r="AG113" s="50">
        <f>$AO113/12</f>
        <v>0</v>
      </c>
      <c r="AH113" s="50">
        <f>$AO113/12</f>
        <v>0</v>
      </c>
      <c r="AI113" s="50">
        <f>$AO113/12</f>
        <v>0</v>
      </c>
      <c r="AJ113" s="50">
        <f>$AO113/12</f>
        <v>0</v>
      </c>
      <c r="AK113" s="50">
        <f>$AO113/12</f>
        <v>0</v>
      </c>
      <c r="AL113" s="50">
        <f>$AO113/12</f>
        <v>0</v>
      </c>
      <c r="AM113" s="50">
        <f>$AO113/12</f>
        <v>0</v>
      </c>
      <c r="AN113" s="50">
        <f>$AO113/12</f>
        <v>0</v>
      </c>
      <c r="AO113" s="50">
        <f>Assumptions!E99</f>
        <v>0</v>
      </c>
      <c r="AP113" s="50">
        <f>$BB113/12</f>
        <v>0</v>
      </c>
      <c r="AQ113" s="50">
        <f>$BB113/12</f>
        <v>0</v>
      </c>
      <c r="AR113" s="50">
        <f>$BB113/12</f>
        <v>0</v>
      </c>
      <c r="AS113" s="50">
        <f>$BB113/12</f>
        <v>0</v>
      </c>
      <c r="AT113" s="50">
        <f>$BB113/12</f>
        <v>0</v>
      </c>
      <c r="AU113" s="50">
        <f>$BB113/12</f>
        <v>0</v>
      </c>
      <c r="AV113" s="50">
        <f>$BB113/12</f>
        <v>0</v>
      </c>
      <c r="AW113" s="50">
        <f>$BB113/12</f>
        <v>0</v>
      </c>
      <c r="AX113" s="50">
        <f>$BB113/12</f>
        <v>0</v>
      </c>
      <c r="AY113" s="50">
        <f>$BB113/12</f>
        <v>0</v>
      </c>
      <c r="AZ113" s="50">
        <f>$BB113/12</f>
        <v>0</v>
      </c>
      <c r="BA113" s="50">
        <f>$BB113/12</f>
        <v>0</v>
      </c>
      <c r="BB113" s="50">
        <f>Assumptions!E99</f>
        <v>0</v>
      </c>
      <c r="BC113" s="50">
        <f>$BO113/12</f>
        <v>0</v>
      </c>
      <c r="BD113" s="50">
        <f>$BO113/12</f>
        <v>0</v>
      </c>
      <c r="BE113" s="50">
        <f>$BO113/12</f>
        <v>0</v>
      </c>
      <c r="BF113" s="50">
        <f>$BO113/12</f>
        <v>0</v>
      </c>
      <c r="BG113" s="50">
        <f>$BO113/12</f>
        <v>0</v>
      </c>
      <c r="BH113" s="50">
        <f>$BO113/12</f>
        <v>0</v>
      </c>
      <c r="BI113" s="50">
        <f>$BO113/12</f>
        <v>0</v>
      </c>
      <c r="BJ113" s="50">
        <f>$BO113/12</f>
        <v>0</v>
      </c>
      <c r="BK113" s="50">
        <f>$BO113/12</f>
        <v>0</v>
      </c>
      <c r="BL113" s="50">
        <f>$BO113/12</f>
        <v>0</v>
      </c>
      <c r="BM113" s="50">
        <f>$BO113/12</f>
        <v>0</v>
      </c>
      <c r="BN113" s="50">
        <f>$BO113/12</f>
        <v>0</v>
      </c>
      <c r="BO113" s="50">
        <f>Assumptions!E99</f>
        <v>0</v>
      </c>
    </row>
    <row r="114"/>
    <row r="115" ht="15" customHeight="1">
      <c r="A115" s="49" t="inlineStr">
        <is>
          <t>Goodwill / Intangibles, Gross</t>
        </is>
      </c>
      <c r="B115" s="50">
        <f>Assumptions!E95</f>
        <v>540000</v>
      </c>
      <c r="C115" s="50">
        <f>Assumptions!E95</f>
        <v>540000</v>
      </c>
      <c r="D115" s="50">
        <f>Assumptions!E95</f>
        <v>540000</v>
      </c>
      <c r="E115" s="50">
        <f>Assumptions!E95</f>
        <v>540000</v>
      </c>
      <c r="F115" s="50">
        <f>Assumptions!E95</f>
        <v>540000</v>
      </c>
      <c r="G115" s="50">
        <f>Assumptions!E95</f>
        <v>540000</v>
      </c>
      <c r="H115" s="50">
        <f>Assumptions!E95</f>
        <v>540000</v>
      </c>
      <c r="I115" s="50">
        <f>Assumptions!E95</f>
        <v>540000</v>
      </c>
      <c r="J115" s="50">
        <f>Assumptions!E95</f>
        <v>540000</v>
      </c>
      <c r="K115" s="50">
        <f>Assumptions!E95</f>
        <v>540000</v>
      </c>
      <c r="L115" s="50">
        <f>Assumptions!E95</f>
        <v>540000</v>
      </c>
      <c r="M115" s="50">
        <f>Assumptions!E95</f>
        <v>540000</v>
      </c>
      <c r="N115" s="50">
        <f>Assumptions!E95</f>
        <v>540000</v>
      </c>
      <c r="O115" s="50">
        <f>Assumptions!E95</f>
        <v>540000</v>
      </c>
      <c r="P115" s="50">
        <f>Assumptions!E95</f>
        <v>540000</v>
      </c>
      <c r="Q115" s="50">
        <f>Assumptions!E95</f>
        <v>540000</v>
      </c>
      <c r="R115" s="50">
        <f>Assumptions!E95</f>
        <v>540000</v>
      </c>
      <c r="S115" s="50">
        <f>Assumptions!E95</f>
        <v>540000</v>
      </c>
      <c r="T115" s="50">
        <f>Assumptions!E95</f>
        <v>540000</v>
      </c>
      <c r="U115" s="50">
        <f>Assumptions!E95</f>
        <v>540000</v>
      </c>
      <c r="V115" s="50">
        <f>Assumptions!E95</f>
        <v>540000</v>
      </c>
      <c r="W115" s="50">
        <f>Assumptions!E95</f>
        <v>540000</v>
      </c>
      <c r="X115" s="50">
        <f>Assumptions!E95</f>
        <v>540000</v>
      </c>
      <c r="Y115" s="50">
        <f>Assumptions!E95</f>
        <v>540000</v>
      </c>
      <c r="Z115" s="50">
        <f>Assumptions!E95</f>
        <v>540000</v>
      </c>
      <c r="AA115" s="50">
        <f>Assumptions!E95</f>
        <v>540000</v>
      </c>
      <c r="AB115" s="50">
        <f>Assumptions!E95</f>
        <v>540000</v>
      </c>
      <c r="AC115" s="50">
        <f>Assumptions!E95</f>
        <v>540000</v>
      </c>
      <c r="AD115" s="50">
        <f>Assumptions!E95</f>
        <v>540000</v>
      </c>
      <c r="AE115" s="50">
        <f>Assumptions!E95</f>
        <v>540000</v>
      </c>
      <c r="AF115" s="50">
        <f>Assumptions!E95</f>
        <v>540000</v>
      </c>
      <c r="AG115" s="50">
        <f>Assumptions!E95</f>
        <v>540000</v>
      </c>
      <c r="AH115" s="50">
        <f>Assumptions!E95</f>
        <v>540000</v>
      </c>
      <c r="AI115" s="50">
        <f>Assumptions!E95</f>
        <v>540000</v>
      </c>
      <c r="AJ115" s="50">
        <f>Assumptions!E95</f>
        <v>540000</v>
      </c>
      <c r="AK115" s="50">
        <f>Assumptions!E95</f>
        <v>540000</v>
      </c>
      <c r="AL115" s="50">
        <f>Assumptions!E95</f>
        <v>540000</v>
      </c>
      <c r="AM115" s="50">
        <f>Assumptions!E95</f>
        <v>540000</v>
      </c>
      <c r="AN115" s="50">
        <f>Assumptions!E95</f>
        <v>540000</v>
      </c>
      <c r="AO115" s="50">
        <f>Assumptions!E95</f>
        <v>540000</v>
      </c>
      <c r="AP115" s="50">
        <f>Assumptions!E95</f>
        <v>540000</v>
      </c>
      <c r="AQ115" s="50">
        <f>Assumptions!E95</f>
        <v>540000</v>
      </c>
      <c r="AR115" s="50">
        <f>Assumptions!E95</f>
        <v>540000</v>
      </c>
      <c r="AS115" s="50">
        <f>Assumptions!E95</f>
        <v>540000</v>
      </c>
      <c r="AT115" s="50">
        <f>Assumptions!E95</f>
        <v>540000</v>
      </c>
      <c r="AU115" s="50">
        <f>Assumptions!E95</f>
        <v>540000</v>
      </c>
      <c r="AV115" s="50">
        <f>Assumptions!E95</f>
        <v>540000</v>
      </c>
      <c r="AW115" s="50">
        <f>Assumptions!E95</f>
        <v>540000</v>
      </c>
      <c r="AX115" s="50">
        <f>Assumptions!E95</f>
        <v>540000</v>
      </c>
      <c r="AY115" s="50">
        <f>Assumptions!E95</f>
        <v>540000</v>
      </c>
      <c r="AZ115" s="50">
        <f>Assumptions!E95</f>
        <v>540000</v>
      </c>
      <c r="BA115" s="50">
        <f>Assumptions!E95</f>
        <v>540000</v>
      </c>
      <c r="BB115" s="50">
        <f>Assumptions!E95</f>
        <v>540000</v>
      </c>
      <c r="BC115" s="50">
        <f>Assumptions!E95</f>
        <v>540000</v>
      </c>
      <c r="BD115" s="50">
        <f>Assumptions!E95</f>
        <v>540000</v>
      </c>
      <c r="BE115" s="50">
        <f>Assumptions!E95</f>
        <v>540000</v>
      </c>
      <c r="BF115" s="50">
        <f>Assumptions!E95</f>
        <v>540000</v>
      </c>
      <c r="BG115" s="50">
        <f>Assumptions!E95</f>
        <v>540000</v>
      </c>
      <c r="BH115" s="50">
        <f>Assumptions!E95</f>
        <v>540000</v>
      </c>
      <c r="BI115" s="50">
        <f>Assumptions!E95</f>
        <v>540000</v>
      </c>
      <c r="BJ115" s="50">
        <f>Assumptions!E95</f>
        <v>540000</v>
      </c>
      <c r="BK115" s="50">
        <f>Assumptions!E95</f>
        <v>540000</v>
      </c>
      <c r="BL115" s="50">
        <f>Assumptions!E95</f>
        <v>540000</v>
      </c>
      <c r="BM115" s="50">
        <f>Assumptions!E95</f>
        <v>540000</v>
      </c>
      <c r="BN115" s="50">
        <f>Assumptions!E95</f>
        <v>540000</v>
      </c>
      <c r="BO115" s="50">
        <f>Assumptions!E95</f>
        <v>540000</v>
      </c>
    </row>
    <row r="116" ht="15" customHeight="1">
      <c r="A116" s="49" t="inlineStr">
        <is>
          <t>Accumulated Amortization</t>
        </is>
      </c>
      <c r="B116" s="50">
        <f>-MIN(Assumptions!E95,Assumptions!E97*0)</f>
        <v>-0</v>
      </c>
      <c r="C116" s="50">
        <f>$B116+($O116-$B116)*1/12</f>
        <v>-3000</v>
      </c>
      <c r="D116" s="50">
        <f>$B116+($O116-$B116)*2/12</f>
        <v>-6000</v>
      </c>
      <c r="E116" s="50">
        <f>$B116+($O116-$B116)*3/12</f>
        <v>-9000</v>
      </c>
      <c r="F116" s="50">
        <f>$B116+($O116-$B116)*4/12</f>
        <v>-12000</v>
      </c>
      <c r="G116" s="50">
        <f>$B116+($O116-$B116)*5/12</f>
        <v>-15000</v>
      </c>
      <c r="H116" s="50">
        <f>$B116+($O116-$B116)*6/12</f>
        <v>-18000</v>
      </c>
      <c r="I116" s="50">
        <f>$B116+($O116-$B116)*7/12</f>
        <v>-21000</v>
      </c>
      <c r="J116" s="50">
        <f>$B116+($O116-$B116)*8/12</f>
        <v>-24000</v>
      </c>
      <c r="K116" s="50">
        <f>$B116+($O116-$B116)*9/12</f>
        <v>-27000</v>
      </c>
      <c r="L116" s="50">
        <f>$B116+($O116-$B116)*10/12</f>
        <v>-30000</v>
      </c>
      <c r="M116" s="50">
        <f>$B116+($O116-$B116)*11/12</f>
        <v>-33000</v>
      </c>
      <c r="N116" s="50">
        <f>$B116+($O116-$B116)*12/12</f>
        <v>-36000</v>
      </c>
      <c r="O116" s="50">
        <f>-MIN(Assumptions!E95,Assumptions!E97*1)</f>
        <v>-36000</v>
      </c>
      <c r="P116" s="50">
        <f>$O116+($AB116-$O116)*1/12</f>
        <v>-39000</v>
      </c>
      <c r="Q116" s="50">
        <f>$O116+($AB116-$O116)*2/12</f>
        <v>-42000</v>
      </c>
      <c r="R116" s="50">
        <f>$O116+($AB116-$O116)*3/12</f>
        <v>-45000</v>
      </c>
      <c r="S116" s="50">
        <f>$O116+($AB116-$O116)*4/12</f>
        <v>-48000</v>
      </c>
      <c r="T116" s="50">
        <f>$O116+($AB116-$O116)*5/12</f>
        <v>-51000</v>
      </c>
      <c r="U116" s="50">
        <f>$O116+($AB116-$O116)*6/12</f>
        <v>-54000</v>
      </c>
      <c r="V116" s="50">
        <f>$O116+($AB116-$O116)*7/12</f>
        <v>-57000</v>
      </c>
      <c r="W116" s="50">
        <f>$O116+($AB116-$O116)*8/12</f>
        <v>-60000</v>
      </c>
      <c r="X116" s="50">
        <f>$O116+($AB116-$O116)*9/12</f>
        <v>-63000</v>
      </c>
      <c r="Y116" s="50">
        <f>$O116+($AB116-$O116)*10/12</f>
        <v>-66000</v>
      </c>
      <c r="Z116" s="50">
        <f>$O116+($AB116-$O116)*11/12</f>
        <v>-69000</v>
      </c>
      <c r="AA116" s="50">
        <f>$O116+($AB116-$O116)*12/12</f>
        <v>-72000</v>
      </c>
      <c r="AB116" s="50">
        <f>-MIN(Assumptions!E95,Assumptions!E97*2)</f>
        <v>-72000</v>
      </c>
      <c r="AC116" s="50">
        <f>$AB116+($AO116-$AB116)*1/12</f>
        <v>-75000</v>
      </c>
      <c r="AD116" s="50">
        <f>$AB116+($AO116-$AB116)*2/12</f>
        <v>-78000</v>
      </c>
      <c r="AE116" s="50">
        <f>$AB116+($AO116-$AB116)*3/12</f>
        <v>-81000</v>
      </c>
      <c r="AF116" s="50">
        <f>$AB116+($AO116-$AB116)*4/12</f>
        <v>-84000</v>
      </c>
      <c r="AG116" s="50">
        <f>$AB116+($AO116-$AB116)*5/12</f>
        <v>-87000</v>
      </c>
      <c r="AH116" s="50">
        <f>$AB116+($AO116-$AB116)*6/12</f>
        <v>-90000</v>
      </c>
      <c r="AI116" s="50">
        <f>$AB116+($AO116-$AB116)*7/12</f>
        <v>-93000</v>
      </c>
      <c r="AJ116" s="50">
        <f>$AB116+($AO116-$AB116)*8/12</f>
        <v>-96000</v>
      </c>
      <c r="AK116" s="50">
        <f>$AB116+($AO116-$AB116)*9/12</f>
        <v>-99000</v>
      </c>
      <c r="AL116" s="50">
        <f>$AB116+($AO116-$AB116)*10/12</f>
        <v>-102000</v>
      </c>
      <c r="AM116" s="50">
        <f>$AB116+($AO116-$AB116)*11/12</f>
        <v>-105000</v>
      </c>
      <c r="AN116" s="50">
        <f>$AB116+($AO116-$AB116)*12/12</f>
        <v>-108000</v>
      </c>
      <c r="AO116" s="50">
        <f>-MIN(Assumptions!E95,Assumptions!E97*3)</f>
        <v>-108000</v>
      </c>
      <c r="AP116" s="50">
        <f>$AO116+($BB116-$AO116)*1/12</f>
        <v>-111000</v>
      </c>
      <c r="AQ116" s="50">
        <f>$AO116+($BB116-$AO116)*2/12</f>
        <v>-114000</v>
      </c>
      <c r="AR116" s="50">
        <f>$AO116+($BB116-$AO116)*3/12</f>
        <v>-117000</v>
      </c>
      <c r="AS116" s="50">
        <f>$AO116+($BB116-$AO116)*4/12</f>
        <v>-120000</v>
      </c>
      <c r="AT116" s="50">
        <f>$AO116+($BB116-$AO116)*5/12</f>
        <v>-123000</v>
      </c>
      <c r="AU116" s="50">
        <f>$AO116+($BB116-$AO116)*6/12</f>
        <v>-126000</v>
      </c>
      <c r="AV116" s="50">
        <f>$AO116+($BB116-$AO116)*7/12</f>
        <v>-129000</v>
      </c>
      <c r="AW116" s="50">
        <f>$AO116+($BB116-$AO116)*8/12</f>
        <v>-132000</v>
      </c>
      <c r="AX116" s="50">
        <f>$AO116+($BB116-$AO116)*9/12</f>
        <v>-135000</v>
      </c>
      <c r="AY116" s="50">
        <f>$AO116+($BB116-$AO116)*10/12</f>
        <v>-138000</v>
      </c>
      <c r="AZ116" s="50">
        <f>$AO116+($BB116-$AO116)*11/12</f>
        <v>-141000</v>
      </c>
      <c r="BA116" s="50">
        <f>$AO116+($BB116-$AO116)*12/12</f>
        <v>-144000</v>
      </c>
      <c r="BB116" s="50">
        <f>-MIN(Assumptions!E95,Assumptions!E97*4)</f>
        <v>-144000</v>
      </c>
      <c r="BC116" s="50">
        <f>$BB116+($BO116-$BB116)*1/12</f>
        <v>-147000</v>
      </c>
      <c r="BD116" s="50">
        <f>$BB116+($BO116-$BB116)*2/12</f>
        <v>-150000</v>
      </c>
      <c r="BE116" s="50">
        <f>$BB116+($BO116-$BB116)*3/12</f>
        <v>-153000</v>
      </c>
      <c r="BF116" s="50">
        <f>$BB116+($BO116-$BB116)*4/12</f>
        <v>-156000</v>
      </c>
      <c r="BG116" s="50">
        <f>$BB116+($BO116-$BB116)*5/12</f>
        <v>-159000</v>
      </c>
      <c r="BH116" s="50">
        <f>$BB116+($BO116-$BB116)*6/12</f>
        <v>-162000</v>
      </c>
      <c r="BI116" s="50">
        <f>$BB116+($BO116-$BB116)*7/12</f>
        <v>-165000</v>
      </c>
      <c r="BJ116" s="50">
        <f>$BB116+($BO116-$BB116)*8/12</f>
        <v>-168000</v>
      </c>
      <c r="BK116" s="50">
        <f>$BB116+($BO116-$BB116)*9/12</f>
        <v>-171000</v>
      </c>
      <c r="BL116" s="50">
        <f>$BB116+($BO116-$BB116)*10/12</f>
        <v>-174000</v>
      </c>
      <c r="BM116" s="50">
        <f>$BB116+($BO116-$BB116)*11/12</f>
        <v>-177000</v>
      </c>
      <c r="BN116" s="50">
        <f>$BB116+($BO116-$BB116)*12/12</f>
        <v>-180000</v>
      </c>
      <c r="BO116" s="50">
        <f>-MIN(Assumptions!E95,Assumptions!E97*5)</f>
        <v>-180000</v>
      </c>
    </row>
    <row r="117" ht="15" customHeight="1">
      <c r="A117" s="51" t="inlineStr">
        <is>
          <t>Goodwill / Intangibles, Net</t>
        </is>
      </c>
      <c r="B117" s="52">
        <f>B115+B116</f>
        <v>540000</v>
      </c>
      <c r="C117" s="52">
        <f>C115+C116</f>
        <v>537000</v>
      </c>
      <c r="D117" s="52">
        <f>D115+D116</f>
        <v>534000</v>
      </c>
      <c r="E117" s="52">
        <f>E115+E116</f>
        <v>531000</v>
      </c>
      <c r="F117" s="52">
        <f>F115+F116</f>
        <v>528000</v>
      </c>
      <c r="G117" s="52">
        <f>G115+G116</f>
        <v>525000</v>
      </c>
      <c r="H117" s="52">
        <f>H115+H116</f>
        <v>522000</v>
      </c>
      <c r="I117" s="52">
        <f>I115+I116</f>
        <v>519000</v>
      </c>
      <c r="J117" s="52">
        <f>J115+J116</f>
        <v>516000</v>
      </c>
      <c r="K117" s="52">
        <f>K115+K116</f>
        <v>513000</v>
      </c>
      <c r="L117" s="52">
        <f>L115+L116</f>
        <v>510000</v>
      </c>
      <c r="M117" s="52">
        <f>M115+M116</f>
        <v>507000</v>
      </c>
      <c r="N117" s="52">
        <f>N115+N116</f>
        <v>504000</v>
      </c>
      <c r="O117" s="52">
        <f>O115+O116</f>
        <v>504000</v>
      </c>
      <c r="P117" s="52">
        <f>P115+P116</f>
        <v>501000</v>
      </c>
      <c r="Q117" s="52">
        <f>Q115+Q116</f>
        <v>498000</v>
      </c>
      <c r="R117" s="52">
        <f>R115+R116</f>
        <v>495000</v>
      </c>
      <c r="S117" s="52">
        <f>S115+S116</f>
        <v>492000</v>
      </c>
      <c r="T117" s="52">
        <f>T115+T116</f>
        <v>489000</v>
      </c>
      <c r="U117" s="52">
        <f>U115+U116</f>
        <v>486000</v>
      </c>
      <c r="V117" s="52">
        <f>V115+V116</f>
        <v>483000</v>
      </c>
      <c r="W117" s="52">
        <f>W115+W116</f>
        <v>480000</v>
      </c>
      <c r="X117" s="52">
        <f>X115+X116</f>
        <v>477000</v>
      </c>
      <c r="Y117" s="52">
        <f>Y115+Y116</f>
        <v>474000</v>
      </c>
      <c r="Z117" s="52">
        <f>Z115+Z116</f>
        <v>471000</v>
      </c>
      <c r="AA117" s="52">
        <f>AA115+AA116</f>
        <v>468000</v>
      </c>
      <c r="AB117" s="52">
        <f>AB115+AB116</f>
        <v>468000</v>
      </c>
      <c r="AC117" s="52">
        <f>AC115+AC116</f>
        <v>465000</v>
      </c>
      <c r="AD117" s="52">
        <f>AD115+AD116</f>
        <v>462000</v>
      </c>
      <c r="AE117" s="52">
        <f>AE115+AE116</f>
        <v>459000</v>
      </c>
      <c r="AF117" s="52">
        <f>AF115+AF116</f>
        <v>456000</v>
      </c>
      <c r="AG117" s="52">
        <f>AG115+AG116</f>
        <v>453000</v>
      </c>
      <c r="AH117" s="52">
        <f>AH115+AH116</f>
        <v>450000</v>
      </c>
      <c r="AI117" s="52">
        <f>AI115+AI116</f>
        <v>447000</v>
      </c>
      <c r="AJ117" s="52">
        <f>AJ115+AJ116</f>
        <v>444000</v>
      </c>
      <c r="AK117" s="52">
        <f>AK115+AK116</f>
        <v>441000</v>
      </c>
      <c r="AL117" s="52">
        <f>AL115+AL116</f>
        <v>438000</v>
      </c>
      <c r="AM117" s="52">
        <f>AM115+AM116</f>
        <v>435000</v>
      </c>
      <c r="AN117" s="52">
        <f>AN115+AN116</f>
        <v>432000</v>
      </c>
      <c r="AO117" s="52">
        <f>AO115+AO116</f>
        <v>432000</v>
      </c>
      <c r="AP117" s="52">
        <f>AP115+AP116</f>
        <v>429000</v>
      </c>
      <c r="AQ117" s="52">
        <f>AQ115+AQ116</f>
        <v>426000</v>
      </c>
      <c r="AR117" s="52">
        <f>AR115+AR116</f>
        <v>423000</v>
      </c>
      <c r="AS117" s="52">
        <f>AS115+AS116</f>
        <v>420000</v>
      </c>
      <c r="AT117" s="52">
        <f>AT115+AT116</f>
        <v>417000</v>
      </c>
      <c r="AU117" s="52">
        <f>AU115+AU116</f>
        <v>414000</v>
      </c>
      <c r="AV117" s="52">
        <f>AV115+AV116</f>
        <v>411000</v>
      </c>
      <c r="AW117" s="52">
        <f>AW115+AW116</f>
        <v>408000</v>
      </c>
      <c r="AX117" s="52">
        <f>AX115+AX116</f>
        <v>405000</v>
      </c>
      <c r="AY117" s="52">
        <f>AY115+AY116</f>
        <v>402000</v>
      </c>
      <c r="AZ117" s="52">
        <f>AZ115+AZ116</f>
        <v>399000</v>
      </c>
      <c r="BA117" s="52">
        <f>BA115+BA116</f>
        <v>396000</v>
      </c>
      <c r="BB117" s="52">
        <f>BB115+BB116</f>
        <v>396000</v>
      </c>
      <c r="BC117" s="52">
        <f>BC115+BC116</f>
        <v>393000</v>
      </c>
      <c r="BD117" s="52">
        <f>BD115+BD116</f>
        <v>390000</v>
      </c>
      <c r="BE117" s="52">
        <f>BE115+BE116</f>
        <v>387000</v>
      </c>
      <c r="BF117" s="52">
        <f>BF115+BF116</f>
        <v>384000</v>
      </c>
      <c r="BG117" s="52">
        <f>BG115+BG116</f>
        <v>381000</v>
      </c>
      <c r="BH117" s="52">
        <f>BH115+BH116</f>
        <v>378000</v>
      </c>
      <c r="BI117" s="52">
        <f>BI115+BI116</f>
        <v>375000</v>
      </c>
      <c r="BJ117" s="52">
        <f>BJ115+BJ116</f>
        <v>372000</v>
      </c>
      <c r="BK117" s="52">
        <f>BK115+BK116</f>
        <v>369000</v>
      </c>
      <c r="BL117" s="52">
        <f>BL115+BL116</f>
        <v>366000</v>
      </c>
      <c r="BM117" s="52">
        <f>BM115+BM116</f>
        <v>363000</v>
      </c>
      <c r="BN117" s="52">
        <f>BN115+BN116</f>
        <v>360000</v>
      </c>
      <c r="BO117" s="52">
        <f>BO115+BO116</f>
        <v>360000</v>
      </c>
    </row>
    <row r="118" ht="15" customHeight="1">
      <c r="A118" s="49" t="inlineStr">
        <is>
          <t>Amortization Expense (Annual)</t>
        </is>
      </c>
      <c r="C118" s="50">
        <f>$O118/12</f>
        <v>3000</v>
      </c>
      <c r="D118" s="50">
        <f>$O118/12</f>
        <v>3000</v>
      </c>
      <c r="E118" s="50">
        <f>$O118/12</f>
        <v>3000</v>
      </c>
      <c r="F118" s="50">
        <f>$O118/12</f>
        <v>3000</v>
      </c>
      <c r="G118" s="50">
        <f>$O118/12</f>
        <v>3000</v>
      </c>
      <c r="H118" s="50">
        <f>$O118/12</f>
        <v>3000</v>
      </c>
      <c r="I118" s="50">
        <f>$O118/12</f>
        <v>3000</v>
      </c>
      <c r="J118" s="50">
        <f>$O118/12</f>
        <v>3000</v>
      </c>
      <c r="K118" s="50">
        <f>$O118/12</f>
        <v>3000</v>
      </c>
      <c r="L118" s="50">
        <f>$O118/12</f>
        <v>3000</v>
      </c>
      <c r="M118" s="50">
        <f>$O118/12</f>
        <v>3000</v>
      </c>
      <c r="N118" s="50">
        <f>$O118/12</f>
        <v>3000</v>
      </c>
      <c r="O118" s="50">
        <f>Assumptions!E97</f>
        <v>36000</v>
      </c>
      <c r="P118" s="50">
        <f>$AB118/12</f>
        <v>3000</v>
      </c>
      <c r="Q118" s="50">
        <f>$AB118/12</f>
        <v>3000</v>
      </c>
      <c r="R118" s="50">
        <f>$AB118/12</f>
        <v>3000</v>
      </c>
      <c r="S118" s="50">
        <f>$AB118/12</f>
        <v>3000</v>
      </c>
      <c r="T118" s="50">
        <f>$AB118/12</f>
        <v>3000</v>
      </c>
      <c r="U118" s="50">
        <f>$AB118/12</f>
        <v>3000</v>
      </c>
      <c r="V118" s="50">
        <f>$AB118/12</f>
        <v>3000</v>
      </c>
      <c r="W118" s="50">
        <f>$AB118/12</f>
        <v>3000</v>
      </c>
      <c r="X118" s="50">
        <f>$AB118/12</f>
        <v>3000</v>
      </c>
      <c r="Y118" s="50">
        <f>$AB118/12</f>
        <v>3000</v>
      </c>
      <c r="Z118" s="50">
        <f>$AB118/12</f>
        <v>3000</v>
      </c>
      <c r="AA118" s="50">
        <f>$AB118/12</f>
        <v>3000</v>
      </c>
      <c r="AB118" s="50">
        <f>Assumptions!E97</f>
        <v>36000</v>
      </c>
      <c r="AC118" s="50">
        <f>$AO118/12</f>
        <v>3000</v>
      </c>
      <c r="AD118" s="50">
        <f>$AO118/12</f>
        <v>3000</v>
      </c>
      <c r="AE118" s="50">
        <f>$AO118/12</f>
        <v>3000</v>
      </c>
      <c r="AF118" s="50">
        <f>$AO118/12</f>
        <v>3000</v>
      </c>
      <c r="AG118" s="50">
        <f>$AO118/12</f>
        <v>3000</v>
      </c>
      <c r="AH118" s="50">
        <f>$AO118/12</f>
        <v>3000</v>
      </c>
      <c r="AI118" s="50">
        <f>$AO118/12</f>
        <v>3000</v>
      </c>
      <c r="AJ118" s="50">
        <f>$AO118/12</f>
        <v>3000</v>
      </c>
      <c r="AK118" s="50">
        <f>$AO118/12</f>
        <v>3000</v>
      </c>
      <c r="AL118" s="50">
        <f>$AO118/12</f>
        <v>3000</v>
      </c>
      <c r="AM118" s="50">
        <f>$AO118/12</f>
        <v>3000</v>
      </c>
      <c r="AN118" s="50">
        <f>$AO118/12</f>
        <v>3000</v>
      </c>
      <c r="AO118" s="50">
        <f>Assumptions!E97</f>
        <v>36000</v>
      </c>
      <c r="AP118" s="50">
        <f>$BB118/12</f>
        <v>3000</v>
      </c>
      <c r="AQ118" s="50">
        <f>$BB118/12</f>
        <v>3000</v>
      </c>
      <c r="AR118" s="50">
        <f>$BB118/12</f>
        <v>3000</v>
      </c>
      <c r="AS118" s="50">
        <f>$BB118/12</f>
        <v>3000</v>
      </c>
      <c r="AT118" s="50">
        <f>$BB118/12</f>
        <v>3000</v>
      </c>
      <c r="AU118" s="50">
        <f>$BB118/12</f>
        <v>3000</v>
      </c>
      <c r="AV118" s="50">
        <f>$BB118/12</f>
        <v>3000</v>
      </c>
      <c r="AW118" s="50">
        <f>$BB118/12</f>
        <v>3000</v>
      </c>
      <c r="AX118" s="50">
        <f>$BB118/12</f>
        <v>3000</v>
      </c>
      <c r="AY118" s="50">
        <f>$BB118/12</f>
        <v>3000</v>
      </c>
      <c r="AZ118" s="50">
        <f>$BB118/12</f>
        <v>3000</v>
      </c>
      <c r="BA118" s="50">
        <f>$BB118/12</f>
        <v>3000</v>
      </c>
      <c r="BB118" s="50">
        <f>Assumptions!E97</f>
        <v>36000</v>
      </c>
      <c r="BC118" s="50">
        <f>$BO118/12</f>
        <v>3000</v>
      </c>
      <c r="BD118" s="50">
        <f>$BO118/12</f>
        <v>3000</v>
      </c>
      <c r="BE118" s="50">
        <f>$BO118/12</f>
        <v>3000</v>
      </c>
      <c r="BF118" s="50">
        <f>$BO118/12</f>
        <v>3000</v>
      </c>
      <c r="BG118" s="50">
        <f>$BO118/12</f>
        <v>3000</v>
      </c>
      <c r="BH118" s="50">
        <f>$BO118/12</f>
        <v>3000</v>
      </c>
      <c r="BI118" s="50">
        <f>$BO118/12</f>
        <v>3000</v>
      </c>
      <c r="BJ118" s="50">
        <f>$BO118/12</f>
        <v>3000</v>
      </c>
      <c r="BK118" s="50">
        <f>$BO118/12</f>
        <v>3000</v>
      </c>
      <c r="BL118" s="50">
        <f>$BO118/12</f>
        <v>3000</v>
      </c>
      <c r="BM118" s="50">
        <f>$BO118/12</f>
        <v>3000</v>
      </c>
      <c r="BN118" s="50">
        <f>$BO118/12</f>
        <v>3000</v>
      </c>
      <c r="BO118" s="50">
        <f>Assumptions!E97</f>
        <v>36000</v>
      </c>
    </row>
    <row r="119" ht="15" customHeight="1">
      <c r="A119" s="60" t="inlineStr">
        <is>
          <t>Total Depreciation &amp; Amortization</t>
        </is>
      </c>
      <c r="B119" s="53" t="n"/>
      <c r="C119" s="52">
        <f>C113+C118</f>
        <v>3000</v>
      </c>
      <c r="D119" s="52">
        <f>D113+D118</f>
        <v>3000</v>
      </c>
      <c r="E119" s="52">
        <f>E113+E118</f>
        <v>3000</v>
      </c>
      <c r="F119" s="52">
        <f>F113+F118</f>
        <v>3000</v>
      </c>
      <c r="G119" s="52">
        <f>G113+G118</f>
        <v>3000</v>
      </c>
      <c r="H119" s="52">
        <f>H113+H118</f>
        <v>3000</v>
      </c>
      <c r="I119" s="52">
        <f>I113+I118</f>
        <v>3000</v>
      </c>
      <c r="J119" s="52">
        <f>J113+J118</f>
        <v>3000</v>
      </c>
      <c r="K119" s="52">
        <f>K113+K118</f>
        <v>3000</v>
      </c>
      <c r="L119" s="52">
        <f>L113+L118</f>
        <v>3000</v>
      </c>
      <c r="M119" s="52">
        <f>M113+M118</f>
        <v>3000</v>
      </c>
      <c r="N119" s="52">
        <f>N113+N118</f>
        <v>3000</v>
      </c>
      <c r="O119" s="52">
        <f>O113+O118</f>
        <v>36000</v>
      </c>
      <c r="P119" s="52">
        <f>P113+P118</f>
        <v>3000</v>
      </c>
      <c r="Q119" s="52">
        <f>Q113+Q118</f>
        <v>3000</v>
      </c>
      <c r="R119" s="52">
        <f>R113+R118</f>
        <v>3000</v>
      </c>
      <c r="S119" s="52">
        <f>S113+S118</f>
        <v>3000</v>
      </c>
      <c r="T119" s="52">
        <f>T113+T118</f>
        <v>3000</v>
      </c>
      <c r="U119" s="52">
        <f>U113+U118</f>
        <v>3000</v>
      </c>
      <c r="V119" s="52">
        <f>V113+V118</f>
        <v>3000</v>
      </c>
      <c r="W119" s="52">
        <f>W113+W118</f>
        <v>3000</v>
      </c>
      <c r="X119" s="52">
        <f>X113+X118</f>
        <v>3000</v>
      </c>
      <c r="Y119" s="52">
        <f>Y113+Y118</f>
        <v>3000</v>
      </c>
      <c r="Z119" s="52">
        <f>Z113+Z118</f>
        <v>3000</v>
      </c>
      <c r="AA119" s="52">
        <f>AA113+AA118</f>
        <v>3000</v>
      </c>
      <c r="AB119" s="52">
        <f>AB113+AB118</f>
        <v>36000</v>
      </c>
      <c r="AC119" s="52">
        <f>AC113+AC118</f>
        <v>3000</v>
      </c>
      <c r="AD119" s="52">
        <f>AD113+AD118</f>
        <v>3000</v>
      </c>
      <c r="AE119" s="52">
        <f>AE113+AE118</f>
        <v>3000</v>
      </c>
      <c r="AF119" s="52">
        <f>AF113+AF118</f>
        <v>3000</v>
      </c>
      <c r="AG119" s="52">
        <f>AG113+AG118</f>
        <v>3000</v>
      </c>
      <c r="AH119" s="52">
        <f>AH113+AH118</f>
        <v>3000</v>
      </c>
      <c r="AI119" s="52">
        <f>AI113+AI118</f>
        <v>3000</v>
      </c>
      <c r="AJ119" s="52">
        <f>AJ113+AJ118</f>
        <v>3000</v>
      </c>
      <c r="AK119" s="52">
        <f>AK113+AK118</f>
        <v>3000</v>
      </c>
      <c r="AL119" s="52">
        <f>AL113+AL118</f>
        <v>3000</v>
      </c>
      <c r="AM119" s="52">
        <f>AM113+AM118</f>
        <v>3000</v>
      </c>
      <c r="AN119" s="52">
        <f>AN113+AN118</f>
        <v>3000</v>
      </c>
      <c r="AO119" s="52">
        <f>AO113+AO118</f>
        <v>36000</v>
      </c>
      <c r="AP119" s="52">
        <f>AP113+AP118</f>
        <v>3000</v>
      </c>
      <c r="AQ119" s="52">
        <f>AQ113+AQ118</f>
        <v>3000</v>
      </c>
      <c r="AR119" s="52">
        <f>AR113+AR118</f>
        <v>3000</v>
      </c>
      <c r="AS119" s="52">
        <f>AS113+AS118</f>
        <v>3000</v>
      </c>
      <c r="AT119" s="52">
        <f>AT113+AT118</f>
        <v>3000</v>
      </c>
      <c r="AU119" s="52">
        <f>AU113+AU118</f>
        <v>3000</v>
      </c>
      <c r="AV119" s="52">
        <f>AV113+AV118</f>
        <v>3000</v>
      </c>
      <c r="AW119" s="52">
        <f>AW113+AW118</f>
        <v>3000</v>
      </c>
      <c r="AX119" s="52">
        <f>AX113+AX118</f>
        <v>3000</v>
      </c>
      <c r="AY119" s="52">
        <f>AY113+AY118</f>
        <v>3000</v>
      </c>
      <c r="AZ119" s="52">
        <f>AZ113+AZ118</f>
        <v>3000</v>
      </c>
      <c r="BA119" s="52">
        <f>BA113+BA118</f>
        <v>3000</v>
      </c>
      <c r="BB119" s="52">
        <f>BB113+BB118</f>
        <v>36000</v>
      </c>
      <c r="BC119" s="52">
        <f>BC113+BC118</f>
        <v>3000</v>
      </c>
      <c r="BD119" s="52">
        <f>BD113+BD118</f>
        <v>3000</v>
      </c>
      <c r="BE119" s="52">
        <f>BE113+BE118</f>
        <v>3000</v>
      </c>
      <c r="BF119" s="52">
        <f>BF113+BF118</f>
        <v>3000</v>
      </c>
      <c r="BG119" s="52">
        <f>BG113+BG118</f>
        <v>3000</v>
      </c>
      <c r="BH119" s="52">
        <f>BH113+BH118</f>
        <v>3000</v>
      </c>
      <c r="BI119" s="52">
        <f>BI113+BI118</f>
        <v>3000</v>
      </c>
      <c r="BJ119" s="52">
        <f>BJ113+BJ118</f>
        <v>3000</v>
      </c>
      <c r="BK119" s="52">
        <f>BK113+BK118</f>
        <v>3000</v>
      </c>
      <c r="BL119" s="52">
        <f>BL113+BL118</f>
        <v>3000</v>
      </c>
      <c r="BM119" s="52">
        <f>BM113+BM118</f>
        <v>3000</v>
      </c>
      <c r="BN119" s="52">
        <f>BN113+BN118</f>
        <v>3000</v>
      </c>
      <c r="BO119" s="52">
        <f>BO113+BO118</f>
        <v>36000</v>
      </c>
    </row>
    <row r="120"/>
    <row r="121" ht="15" customHeight="1">
      <c r="A121" s="44" t="inlineStr">
        <is>
          <t>Schedule 3 — Senior SBA Term Loan Amortization</t>
        </is>
      </c>
    </row>
    <row r="122" ht="15" customHeight="1">
      <c r="A122" s="47" t="n"/>
      <c r="C122" s="48" t="inlineStr">
        <is>
          <t>M1</t>
        </is>
      </c>
      <c r="D122" s="48" t="inlineStr">
        <is>
          <t>M2</t>
        </is>
      </c>
      <c r="E122" s="48" t="inlineStr">
        <is>
          <t>M3</t>
        </is>
      </c>
      <c r="F122" s="48" t="inlineStr">
        <is>
          <t>M4</t>
        </is>
      </c>
      <c r="G122" s="48" t="inlineStr">
        <is>
          <t>M5</t>
        </is>
      </c>
      <c r="H122" s="48" t="inlineStr">
        <is>
          <t>M6</t>
        </is>
      </c>
      <c r="I122" s="48" t="inlineStr">
        <is>
          <t>M7</t>
        </is>
      </c>
      <c r="J122" s="48" t="inlineStr">
        <is>
          <t>M8</t>
        </is>
      </c>
      <c r="K122" s="48" t="inlineStr">
        <is>
          <t>M9</t>
        </is>
      </c>
      <c r="L122" s="48" t="inlineStr">
        <is>
          <t>M10</t>
        </is>
      </c>
      <c r="M122" s="48" t="inlineStr">
        <is>
          <t>M11</t>
        </is>
      </c>
      <c r="N122" s="48" t="inlineStr">
        <is>
          <t>M12</t>
        </is>
      </c>
      <c r="O122" s="48" t="inlineStr">
        <is>
          <t>Year 1</t>
        </is>
      </c>
      <c r="P122" s="48" t="inlineStr">
        <is>
          <t>M1</t>
        </is>
      </c>
      <c r="Q122" s="48" t="inlineStr">
        <is>
          <t>M2</t>
        </is>
      </c>
      <c r="R122" s="48" t="inlineStr">
        <is>
          <t>M3</t>
        </is>
      </c>
      <c r="S122" s="48" t="inlineStr">
        <is>
          <t>M4</t>
        </is>
      </c>
      <c r="T122" s="48" t="inlineStr">
        <is>
          <t>M5</t>
        </is>
      </c>
      <c r="U122" s="48" t="inlineStr">
        <is>
          <t>M6</t>
        </is>
      </c>
      <c r="V122" s="48" t="inlineStr">
        <is>
          <t>M7</t>
        </is>
      </c>
      <c r="W122" s="48" t="inlineStr">
        <is>
          <t>M8</t>
        </is>
      </c>
      <c r="X122" s="48" t="inlineStr">
        <is>
          <t>M9</t>
        </is>
      </c>
      <c r="Y122" s="48" t="inlineStr">
        <is>
          <t>M10</t>
        </is>
      </c>
      <c r="Z122" s="48" t="inlineStr">
        <is>
          <t>M11</t>
        </is>
      </c>
      <c r="AA122" s="48" t="inlineStr">
        <is>
          <t>M12</t>
        </is>
      </c>
      <c r="AB122" s="48" t="inlineStr">
        <is>
          <t>Year 2</t>
        </is>
      </c>
      <c r="AC122" s="48" t="inlineStr">
        <is>
          <t>M1</t>
        </is>
      </c>
      <c r="AD122" s="48" t="inlineStr">
        <is>
          <t>M2</t>
        </is>
      </c>
      <c r="AE122" s="48" t="inlineStr">
        <is>
          <t>M3</t>
        </is>
      </c>
      <c r="AF122" s="48" t="inlineStr">
        <is>
          <t>M4</t>
        </is>
      </c>
      <c r="AG122" s="48" t="inlineStr">
        <is>
          <t>M5</t>
        </is>
      </c>
      <c r="AH122" s="48" t="inlineStr">
        <is>
          <t>M6</t>
        </is>
      </c>
      <c r="AI122" s="48" t="inlineStr">
        <is>
          <t>M7</t>
        </is>
      </c>
      <c r="AJ122" s="48" t="inlineStr">
        <is>
          <t>M8</t>
        </is>
      </c>
      <c r="AK122" s="48" t="inlineStr">
        <is>
          <t>M9</t>
        </is>
      </c>
      <c r="AL122" s="48" t="inlineStr">
        <is>
          <t>M10</t>
        </is>
      </c>
      <c r="AM122" s="48" t="inlineStr">
        <is>
          <t>M11</t>
        </is>
      </c>
      <c r="AN122" s="48" t="inlineStr">
        <is>
          <t>M12</t>
        </is>
      </c>
      <c r="AO122" s="48" t="inlineStr">
        <is>
          <t>Year 3</t>
        </is>
      </c>
      <c r="AP122" s="48" t="inlineStr">
        <is>
          <t>M1</t>
        </is>
      </c>
      <c r="AQ122" s="48" t="inlineStr">
        <is>
          <t>M2</t>
        </is>
      </c>
      <c r="AR122" s="48" t="inlineStr">
        <is>
          <t>M3</t>
        </is>
      </c>
      <c r="AS122" s="48" t="inlineStr">
        <is>
          <t>M4</t>
        </is>
      </c>
      <c r="AT122" s="48" t="inlineStr">
        <is>
          <t>M5</t>
        </is>
      </c>
      <c r="AU122" s="48" t="inlineStr">
        <is>
          <t>M6</t>
        </is>
      </c>
      <c r="AV122" s="48" t="inlineStr">
        <is>
          <t>M7</t>
        </is>
      </c>
      <c r="AW122" s="48" t="inlineStr">
        <is>
          <t>M8</t>
        </is>
      </c>
      <c r="AX122" s="48" t="inlineStr">
        <is>
          <t>M9</t>
        </is>
      </c>
      <c r="AY122" s="48" t="inlineStr">
        <is>
          <t>M10</t>
        </is>
      </c>
      <c r="AZ122" s="48" t="inlineStr">
        <is>
          <t>M11</t>
        </is>
      </c>
      <c r="BA122" s="48" t="inlineStr">
        <is>
          <t>M12</t>
        </is>
      </c>
      <c r="BB122" s="48" t="inlineStr">
        <is>
          <t>Year 4</t>
        </is>
      </c>
      <c r="BC122" s="48" t="inlineStr">
        <is>
          <t>M1</t>
        </is>
      </c>
      <c r="BD122" s="48" t="inlineStr">
        <is>
          <t>M2</t>
        </is>
      </c>
      <c r="BE122" s="48" t="inlineStr">
        <is>
          <t>M3</t>
        </is>
      </c>
      <c r="BF122" s="48" t="inlineStr">
        <is>
          <t>M4</t>
        </is>
      </c>
      <c r="BG122" s="48" t="inlineStr">
        <is>
          <t>M5</t>
        </is>
      </c>
      <c r="BH122" s="48" t="inlineStr">
        <is>
          <t>M6</t>
        </is>
      </c>
      <c r="BI122" s="48" t="inlineStr">
        <is>
          <t>M7</t>
        </is>
      </c>
      <c r="BJ122" s="48" t="inlineStr">
        <is>
          <t>M8</t>
        </is>
      </c>
      <c r="BK122" s="48" t="inlineStr">
        <is>
          <t>M9</t>
        </is>
      </c>
      <c r="BL122" s="48" t="inlineStr">
        <is>
          <t>M10</t>
        </is>
      </c>
      <c r="BM122" s="48" t="inlineStr">
        <is>
          <t>M11</t>
        </is>
      </c>
      <c r="BN122" s="48" t="inlineStr">
        <is>
          <t>M12</t>
        </is>
      </c>
      <c r="BO122" s="48" t="inlineStr">
        <is>
          <t>Year 5</t>
        </is>
      </c>
    </row>
    <row r="123" ht="15" customHeight="1">
      <c r="A123" s="49" t="inlineStr">
        <is>
          <t>Beginning Balance</t>
        </is>
      </c>
      <c r="C123" s="50">
        <f>Assumptions!E32</f>
        <v>569999.69999999995</v>
      </c>
      <c r="D123" s="50">
        <f>C127</f>
        <v>566947.0594026281</v>
      </c>
      <c r="E123" s="50">
        <f>D127</f>
        <v>563894.41880525625</v>
      </c>
      <c r="F123" s="50">
        <f>E127</f>
        <v>560841.7782078844</v>
      </c>
      <c r="G123" s="50">
        <f>F127</f>
        <v>557789.13761051255</v>
      </c>
      <c r="H123" s="50">
        <f>G127</f>
        <v>554736.4970131407</v>
      </c>
      <c r="I123" s="50">
        <f>H127</f>
        <v>551683.85641576885</v>
      </c>
      <c r="J123" s="50">
        <f>I127</f>
        <v>548631.215818397</v>
      </c>
      <c r="K123" s="50">
        <f>J127</f>
        <v>545578.57522102515</v>
      </c>
      <c r="L123" s="50">
        <f>K127</f>
        <v>542525.9346236533</v>
      </c>
      <c r="M123" s="50">
        <f>L127</f>
        <v>539473.29402628145</v>
      </c>
      <c r="N123" s="50">
        <f>M127</f>
        <v>536420.6534289096</v>
      </c>
      <c r="O123" s="50">
        <f>Assumptions!E32</f>
        <v>569999.69999999995</v>
      </c>
      <c r="P123" s="50">
        <f>O127</f>
        <v>533368.01283153752</v>
      </c>
      <c r="Q123" s="50">
        <f>P127</f>
        <v>530025.37137741537</v>
      </c>
      <c r="R123" s="50">
        <f>Q127</f>
        <v>526682.72992329323</v>
      </c>
      <c r="S123" s="50">
        <f>R127</f>
        <v>523340.08846917102</v>
      </c>
      <c r="T123" s="50">
        <f>S127</f>
        <v>519997.44701504882</v>
      </c>
      <c r="U123" s="50">
        <f>T127</f>
        <v>516654.80556092662</v>
      </c>
      <c r="V123" s="50">
        <f>U127</f>
        <v>513312.16410680441</v>
      </c>
      <c r="W123" s="50">
        <f>V127</f>
        <v>509969.52265268221</v>
      </c>
      <c r="X123" s="50">
        <f>W127</f>
        <v>506626.88119856</v>
      </c>
      <c r="Y123" s="50">
        <f>X127</f>
        <v>503284.2397444378</v>
      </c>
      <c r="Z123" s="50">
        <f>Y127</f>
        <v>499941.5982903156</v>
      </c>
      <c r="AA123" s="50">
        <f>Z127</f>
        <v>496598.95683619339</v>
      </c>
      <c r="AB123" s="50">
        <f>O127</f>
        <v>533368.01283153752</v>
      </c>
      <c r="AC123" s="50">
        <f>AB127</f>
        <v>493256.31538207113</v>
      </c>
      <c r="AD123" s="50">
        <f>AC127</f>
        <v>489596.12298980734</v>
      </c>
      <c r="AE123" s="50">
        <f>AD127</f>
        <v>485935.93059754354</v>
      </c>
      <c r="AF123" s="50">
        <f>AE127</f>
        <v>482275.73820527975</v>
      </c>
      <c r="AG123" s="50">
        <f>AF127</f>
        <v>478615.54581301595</v>
      </c>
      <c r="AH123" s="50">
        <f>AG127</f>
        <v>474955.35342075216</v>
      </c>
      <c r="AI123" s="50">
        <f>AH127</f>
        <v>471295.16102848836</v>
      </c>
      <c r="AJ123" s="50">
        <f>AI127</f>
        <v>467634.96863622457</v>
      </c>
      <c r="AK123" s="50">
        <f>AJ127</f>
        <v>463974.77624396078</v>
      </c>
      <c r="AL123" s="50">
        <f>AK127</f>
        <v>460314.58385169698</v>
      </c>
      <c r="AM123" s="50">
        <f>AL127</f>
        <v>456654.39145943319</v>
      </c>
      <c r="AN123" s="50">
        <f>AM127</f>
        <v>452994.19906716939</v>
      </c>
      <c r="AO123" s="50">
        <f>AB127</f>
        <v>493256.31538207113</v>
      </c>
      <c r="AP123" s="50">
        <f>AO127</f>
        <v>449334.00667490542</v>
      </c>
      <c r="AQ123" s="50">
        <f>AP127</f>
        <v>445326.09600537654</v>
      </c>
      <c r="AR123" s="50">
        <f>AQ127</f>
        <v>441318.18533584767</v>
      </c>
      <c r="AS123" s="50">
        <f>AR127</f>
        <v>437310.27466631879</v>
      </c>
      <c r="AT123" s="50">
        <f>AS127</f>
        <v>433302.36399678991</v>
      </c>
      <c r="AU123" s="50">
        <f>AT127</f>
        <v>429294.45332726103</v>
      </c>
      <c r="AV123" s="50">
        <f>AU127</f>
        <v>425286.54265773215</v>
      </c>
      <c r="AW123" s="50">
        <f>AV127</f>
        <v>421278.63198820327</v>
      </c>
      <c r="AX123" s="50">
        <f>AW127</f>
        <v>417270.72131867439</v>
      </c>
      <c r="AY123" s="50">
        <f>AX127</f>
        <v>413262.81064914551</v>
      </c>
      <c r="AZ123" s="50">
        <f>AY127</f>
        <v>409254.89997961663</v>
      </c>
      <c r="BA123" s="50">
        <f>AZ127</f>
        <v>405246.98931008775</v>
      </c>
      <c r="BB123" s="50">
        <f>AO127</f>
        <v>449334.00667490542</v>
      </c>
      <c r="BC123" s="50">
        <f>BB127</f>
        <v>401239.07864055899</v>
      </c>
      <c r="BD123" s="50">
        <f>BC127</f>
        <v>396850.41645742487</v>
      </c>
      <c r="BE123" s="50">
        <f>BD127</f>
        <v>392461.75427429075</v>
      </c>
      <c r="BF123" s="50">
        <f>BE127</f>
        <v>388073.09209115664</v>
      </c>
      <c r="BG123" s="50">
        <f>BF127</f>
        <v>383684.42990802252</v>
      </c>
      <c r="BH123" s="50">
        <f>BG127</f>
        <v>379295.7677248884</v>
      </c>
      <c r="BI123" s="50">
        <f>BH127</f>
        <v>374907.10554175428</v>
      </c>
      <c r="BJ123" s="50">
        <f>BI127</f>
        <v>370518.44335862016</v>
      </c>
      <c r="BK123" s="50">
        <f>BJ127</f>
        <v>366129.78117548604</v>
      </c>
      <c r="BL123" s="50">
        <f>BK127</f>
        <v>361741.11899235193</v>
      </c>
      <c r="BM123" s="50">
        <f>BL127</f>
        <v>357352.45680921781</v>
      </c>
      <c r="BN123" s="50">
        <f>BM127</f>
        <v>352963.79462608369</v>
      </c>
      <c r="BO123" s="50">
        <f>BB127</f>
        <v>401239.07864055899</v>
      </c>
    </row>
    <row r="124" ht="15" customHeight="1">
      <c r="A124" s="49" t="inlineStr">
        <is>
          <t>Interest</t>
        </is>
      </c>
      <c r="C124" s="50">
        <f>$O124/12</f>
        <v>4512.497625</v>
      </c>
      <c r="D124" s="50">
        <f>$O124/12</f>
        <v>4512.497625</v>
      </c>
      <c r="E124" s="50">
        <f>$O124/12</f>
        <v>4512.497625</v>
      </c>
      <c r="F124" s="50">
        <f>$O124/12</f>
        <v>4512.497625</v>
      </c>
      <c r="G124" s="50">
        <f>$O124/12</f>
        <v>4512.497625</v>
      </c>
      <c r="H124" s="50">
        <f>$O124/12</f>
        <v>4512.497625</v>
      </c>
      <c r="I124" s="50">
        <f>$O124/12</f>
        <v>4512.497625</v>
      </c>
      <c r="J124" s="50">
        <f>$O124/12</f>
        <v>4512.497625</v>
      </c>
      <c r="K124" s="50">
        <f>$O124/12</f>
        <v>4512.497625</v>
      </c>
      <c r="L124" s="50">
        <f>$O124/12</f>
        <v>4512.497625</v>
      </c>
      <c r="M124" s="50">
        <f>$O124/12</f>
        <v>4512.497625</v>
      </c>
      <c r="N124" s="50">
        <f>$O124/12</f>
        <v>4512.497625</v>
      </c>
      <c r="O124" s="50">
        <f>O123*Assumptions!E30</f>
        <v>54149.9715</v>
      </c>
      <c r="P124" s="50">
        <f>$AB124/12</f>
        <v>4222.4967682496726</v>
      </c>
      <c r="Q124" s="50">
        <f>$AB124/12</f>
        <v>4222.4967682496726</v>
      </c>
      <c r="R124" s="50">
        <f>$AB124/12</f>
        <v>4222.4967682496726</v>
      </c>
      <c r="S124" s="50">
        <f>$AB124/12</f>
        <v>4222.4967682496726</v>
      </c>
      <c r="T124" s="50">
        <f>$AB124/12</f>
        <v>4222.4967682496726</v>
      </c>
      <c r="U124" s="50">
        <f>$AB124/12</f>
        <v>4222.4967682496726</v>
      </c>
      <c r="V124" s="50">
        <f>$AB124/12</f>
        <v>4222.4967682496726</v>
      </c>
      <c r="W124" s="50">
        <f>$AB124/12</f>
        <v>4222.4967682496726</v>
      </c>
      <c r="X124" s="50">
        <f>$AB124/12</f>
        <v>4222.4967682496726</v>
      </c>
      <c r="Y124" s="50">
        <f>$AB124/12</f>
        <v>4222.4967682496726</v>
      </c>
      <c r="Z124" s="50">
        <f>$AB124/12</f>
        <v>4222.4967682496726</v>
      </c>
      <c r="AA124" s="50">
        <f>$AB124/12</f>
        <v>4222.4967682496726</v>
      </c>
      <c r="AB124" s="50">
        <f>AB123*Assumptions!E30</f>
        <v>50669.961218996068</v>
      </c>
      <c r="AC124" s="50">
        <f>$AO124/12</f>
        <v>3904.9458301080631</v>
      </c>
      <c r="AD124" s="50">
        <f>$AO124/12</f>
        <v>3904.9458301080631</v>
      </c>
      <c r="AE124" s="50">
        <f>$AO124/12</f>
        <v>3904.9458301080631</v>
      </c>
      <c r="AF124" s="50">
        <f>$AO124/12</f>
        <v>3904.9458301080631</v>
      </c>
      <c r="AG124" s="50">
        <f>$AO124/12</f>
        <v>3904.9458301080631</v>
      </c>
      <c r="AH124" s="50">
        <f>$AO124/12</f>
        <v>3904.9458301080631</v>
      </c>
      <c r="AI124" s="50">
        <f>$AO124/12</f>
        <v>3904.9458301080631</v>
      </c>
      <c r="AJ124" s="50">
        <f>$AO124/12</f>
        <v>3904.9458301080631</v>
      </c>
      <c r="AK124" s="50">
        <f>$AO124/12</f>
        <v>3904.9458301080631</v>
      </c>
      <c r="AL124" s="50">
        <f>$AO124/12</f>
        <v>3904.9458301080631</v>
      </c>
      <c r="AM124" s="50">
        <f>$AO124/12</f>
        <v>3904.9458301080631</v>
      </c>
      <c r="AN124" s="50">
        <f>$AO124/12</f>
        <v>3904.9458301080631</v>
      </c>
      <c r="AO124" s="50">
        <f>AO123*Assumptions!E30</f>
        <v>46859.349961296757</v>
      </c>
      <c r="AP124" s="50">
        <f>$BB124/12</f>
        <v>3557.2275528430014</v>
      </c>
      <c r="AQ124" s="50">
        <f>$BB124/12</f>
        <v>3557.2275528430014</v>
      </c>
      <c r="AR124" s="50">
        <f>$BB124/12</f>
        <v>3557.2275528430014</v>
      </c>
      <c r="AS124" s="50">
        <f>$BB124/12</f>
        <v>3557.2275528430014</v>
      </c>
      <c r="AT124" s="50">
        <f>$BB124/12</f>
        <v>3557.2275528430014</v>
      </c>
      <c r="AU124" s="50">
        <f>$BB124/12</f>
        <v>3557.2275528430014</v>
      </c>
      <c r="AV124" s="50">
        <f>$BB124/12</f>
        <v>3557.2275528430014</v>
      </c>
      <c r="AW124" s="50">
        <f>$BB124/12</f>
        <v>3557.2275528430014</v>
      </c>
      <c r="AX124" s="50">
        <f>$BB124/12</f>
        <v>3557.2275528430014</v>
      </c>
      <c r="AY124" s="50">
        <f>$BB124/12</f>
        <v>3557.2275528430014</v>
      </c>
      <c r="AZ124" s="50">
        <f>$BB124/12</f>
        <v>3557.2275528430014</v>
      </c>
      <c r="BA124" s="50">
        <f>$BB124/12</f>
        <v>3557.2275528430014</v>
      </c>
      <c r="BB124" s="50">
        <f>BB123*Assumptions!E30</f>
        <v>42686.730634116015</v>
      </c>
      <c r="BC124" s="50">
        <f>$BO124/12</f>
        <v>3176.4760392377589</v>
      </c>
      <c r="BD124" s="50">
        <f>$BO124/12</f>
        <v>3176.4760392377589</v>
      </c>
      <c r="BE124" s="50">
        <f>$BO124/12</f>
        <v>3176.4760392377589</v>
      </c>
      <c r="BF124" s="50">
        <f>$BO124/12</f>
        <v>3176.4760392377589</v>
      </c>
      <c r="BG124" s="50">
        <f>$BO124/12</f>
        <v>3176.4760392377589</v>
      </c>
      <c r="BH124" s="50">
        <f>$BO124/12</f>
        <v>3176.4760392377589</v>
      </c>
      <c r="BI124" s="50">
        <f>$BO124/12</f>
        <v>3176.4760392377589</v>
      </c>
      <c r="BJ124" s="50">
        <f>$BO124/12</f>
        <v>3176.4760392377589</v>
      </c>
      <c r="BK124" s="50">
        <f>$BO124/12</f>
        <v>3176.4760392377589</v>
      </c>
      <c r="BL124" s="50">
        <f>$BO124/12</f>
        <v>3176.4760392377589</v>
      </c>
      <c r="BM124" s="50">
        <f>$BO124/12</f>
        <v>3176.4760392377589</v>
      </c>
      <c r="BN124" s="50">
        <f>$BO124/12</f>
        <v>3176.4760392377589</v>
      </c>
      <c r="BO124" s="50">
        <f>BO123*Assumptions!E30</f>
        <v>38117.712470853105</v>
      </c>
    </row>
    <row r="125" ht="15" customHeight="1">
      <c r="A125" s="49" t="inlineStr">
        <is>
          <t>Total Payment</t>
        </is>
      </c>
      <c r="C125" s="50">
        <f>$O125/12</f>
        <v>7565.1382223718729</v>
      </c>
      <c r="D125" s="50">
        <f>$O125/12</f>
        <v>7565.1382223718729</v>
      </c>
      <c r="E125" s="50">
        <f>$O125/12</f>
        <v>7565.1382223718729</v>
      </c>
      <c r="F125" s="50">
        <f>$O125/12</f>
        <v>7565.1382223718729</v>
      </c>
      <c r="G125" s="50">
        <f>$O125/12</f>
        <v>7565.1382223718729</v>
      </c>
      <c r="H125" s="50">
        <f>$O125/12</f>
        <v>7565.1382223718729</v>
      </c>
      <c r="I125" s="50">
        <f>$O125/12</f>
        <v>7565.1382223718729</v>
      </c>
      <c r="J125" s="50">
        <f>$O125/12</f>
        <v>7565.1382223718729</v>
      </c>
      <c r="K125" s="50">
        <f>$O125/12</f>
        <v>7565.1382223718729</v>
      </c>
      <c r="L125" s="50">
        <f>$O125/12</f>
        <v>7565.1382223718729</v>
      </c>
      <c r="M125" s="50">
        <f>$O125/12</f>
        <v>7565.1382223718729</v>
      </c>
      <c r="N125" s="50">
        <f>$O125/12</f>
        <v>7565.1382223718729</v>
      </c>
      <c r="O125" s="50">
        <f>IFERROR(-PMT(Assumptions!E30,Assumptions!E31,Assumptions!E32),0)</f>
        <v>90781.658668462478</v>
      </c>
      <c r="P125" s="50">
        <f>$AB125/12</f>
        <v>7565.1382223718729</v>
      </c>
      <c r="Q125" s="50">
        <f>$AB125/12</f>
        <v>7565.1382223718729</v>
      </c>
      <c r="R125" s="50">
        <f>$AB125/12</f>
        <v>7565.1382223718729</v>
      </c>
      <c r="S125" s="50">
        <f>$AB125/12</f>
        <v>7565.1382223718729</v>
      </c>
      <c r="T125" s="50">
        <f>$AB125/12</f>
        <v>7565.1382223718729</v>
      </c>
      <c r="U125" s="50">
        <f>$AB125/12</f>
        <v>7565.1382223718729</v>
      </c>
      <c r="V125" s="50">
        <f>$AB125/12</f>
        <v>7565.1382223718729</v>
      </c>
      <c r="W125" s="50">
        <f>$AB125/12</f>
        <v>7565.1382223718729</v>
      </c>
      <c r="X125" s="50">
        <f>$AB125/12</f>
        <v>7565.1382223718729</v>
      </c>
      <c r="Y125" s="50">
        <f>$AB125/12</f>
        <v>7565.1382223718729</v>
      </c>
      <c r="Z125" s="50">
        <f>$AB125/12</f>
        <v>7565.1382223718729</v>
      </c>
      <c r="AA125" s="50">
        <f>$AB125/12</f>
        <v>7565.1382223718729</v>
      </c>
      <c r="AB125" s="50">
        <f>IFERROR(-PMT(Assumptions!E30,Assumptions!E31,Assumptions!E32),0)</f>
        <v>90781.658668462478</v>
      </c>
      <c r="AC125" s="50">
        <f>$AO125/12</f>
        <v>7565.1382223718729</v>
      </c>
      <c r="AD125" s="50">
        <f>$AO125/12</f>
        <v>7565.1382223718729</v>
      </c>
      <c r="AE125" s="50">
        <f>$AO125/12</f>
        <v>7565.1382223718729</v>
      </c>
      <c r="AF125" s="50">
        <f>$AO125/12</f>
        <v>7565.1382223718729</v>
      </c>
      <c r="AG125" s="50">
        <f>$AO125/12</f>
        <v>7565.1382223718729</v>
      </c>
      <c r="AH125" s="50">
        <f>$AO125/12</f>
        <v>7565.1382223718729</v>
      </c>
      <c r="AI125" s="50">
        <f>$AO125/12</f>
        <v>7565.1382223718729</v>
      </c>
      <c r="AJ125" s="50">
        <f>$AO125/12</f>
        <v>7565.1382223718729</v>
      </c>
      <c r="AK125" s="50">
        <f>$AO125/12</f>
        <v>7565.1382223718729</v>
      </c>
      <c r="AL125" s="50">
        <f>$AO125/12</f>
        <v>7565.1382223718729</v>
      </c>
      <c r="AM125" s="50">
        <f>$AO125/12</f>
        <v>7565.1382223718729</v>
      </c>
      <c r="AN125" s="50">
        <f>$AO125/12</f>
        <v>7565.1382223718729</v>
      </c>
      <c r="AO125" s="50">
        <f>IFERROR(-PMT(Assumptions!E30,Assumptions!E31,Assumptions!E32),0)</f>
        <v>90781.658668462478</v>
      </c>
      <c r="AP125" s="50">
        <f>$BB125/12</f>
        <v>7565.1382223718729</v>
      </c>
      <c r="AQ125" s="50">
        <f>$BB125/12</f>
        <v>7565.1382223718729</v>
      </c>
      <c r="AR125" s="50">
        <f>$BB125/12</f>
        <v>7565.1382223718729</v>
      </c>
      <c r="AS125" s="50">
        <f>$BB125/12</f>
        <v>7565.1382223718729</v>
      </c>
      <c r="AT125" s="50">
        <f>$BB125/12</f>
        <v>7565.1382223718729</v>
      </c>
      <c r="AU125" s="50">
        <f>$BB125/12</f>
        <v>7565.1382223718729</v>
      </c>
      <c r="AV125" s="50">
        <f>$BB125/12</f>
        <v>7565.1382223718729</v>
      </c>
      <c r="AW125" s="50">
        <f>$BB125/12</f>
        <v>7565.1382223718729</v>
      </c>
      <c r="AX125" s="50">
        <f>$BB125/12</f>
        <v>7565.1382223718729</v>
      </c>
      <c r="AY125" s="50">
        <f>$BB125/12</f>
        <v>7565.1382223718729</v>
      </c>
      <c r="AZ125" s="50">
        <f>$BB125/12</f>
        <v>7565.1382223718729</v>
      </c>
      <c r="BA125" s="50">
        <f>$BB125/12</f>
        <v>7565.1382223718729</v>
      </c>
      <c r="BB125" s="50">
        <f>IFERROR(-PMT(Assumptions!E30,Assumptions!E31,Assumptions!E32),0)</f>
        <v>90781.658668462478</v>
      </c>
      <c r="BC125" s="50">
        <f>$BO125/12</f>
        <v>7565.1382223718729</v>
      </c>
      <c r="BD125" s="50">
        <f>$BO125/12</f>
        <v>7565.1382223718729</v>
      </c>
      <c r="BE125" s="50">
        <f>$BO125/12</f>
        <v>7565.1382223718729</v>
      </c>
      <c r="BF125" s="50">
        <f>$BO125/12</f>
        <v>7565.1382223718729</v>
      </c>
      <c r="BG125" s="50">
        <f>$BO125/12</f>
        <v>7565.1382223718729</v>
      </c>
      <c r="BH125" s="50">
        <f>$BO125/12</f>
        <v>7565.1382223718729</v>
      </c>
      <c r="BI125" s="50">
        <f>$BO125/12</f>
        <v>7565.1382223718729</v>
      </c>
      <c r="BJ125" s="50">
        <f>$BO125/12</f>
        <v>7565.1382223718729</v>
      </c>
      <c r="BK125" s="50">
        <f>$BO125/12</f>
        <v>7565.1382223718729</v>
      </c>
      <c r="BL125" s="50">
        <f>$BO125/12</f>
        <v>7565.1382223718729</v>
      </c>
      <c r="BM125" s="50">
        <f>$BO125/12</f>
        <v>7565.1382223718729</v>
      </c>
      <c r="BN125" s="50">
        <f>$BO125/12</f>
        <v>7565.1382223718729</v>
      </c>
      <c r="BO125" s="50">
        <f>IFERROR(-PMT(Assumptions!E30,Assumptions!E31,Assumptions!E32),0)</f>
        <v>90781.658668462478</v>
      </c>
    </row>
    <row r="126" ht="15" customHeight="1">
      <c r="A126" s="49" t="inlineStr">
        <is>
          <t>Principal</t>
        </is>
      </c>
      <c r="C126" s="50">
        <f>C125-C124</f>
        <v>3052.6405973718729</v>
      </c>
      <c r="D126" s="50">
        <f>D125-D124</f>
        <v>3052.6405973718729</v>
      </c>
      <c r="E126" s="50">
        <f>E125-E124</f>
        <v>3052.6405973718729</v>
      </c>
      <c r="F126" s="50">
        <f>F125-F124</f>
        <v>3052.6405973718729</v>
      </c>
      <c r="G126" s="50">
        <f>G125-G124</f>
        <v>3052.6405973718729</v>
      </c>
      <c r="H126" s="50">
        <f>H125-H124</f>
        <v>3052.6405973718729</v>
      </c>
      <c r="I126" s="50">
        <f>I125-I124</f>
        <v>3052.6405973718729</v>
      </c>
      <c r="J126" s="50">
        <f>J125-J124</f>
        <v>3052.6405973718729</v>
      </c>
      <c r="K126" s="50">
        <f>K125-K124</f>
        <v>3052.6405973718729</v>
      </c>
      <c r="L126" s="50">
        <f>L125-L124</f>
        <v>3052.6405973718729</v>
      </c>
      <c r="M126" s="50">
        <f>M125-M124</f>
        <v>3052.6405973718729</v>
      </c>
      <c r="N126" s="50">
        <f>N125-N124</f>
        <v>3052.6405973718729</v>
      </c>
      <c r="O126" s="50">
        <f>O125-O124</f>
        <v>36631.687168462478</v>
      </c>
      <c r="P126" s="50">
        <f>P125-P124</f>
        <v>3342.6414541222002</v>
      </c>
      <c r="Q126" s="50">
        <f>Q125-Q124</f>
        <v>3342.6414541222002</v>
      </c>
      <c r="R126" s="50">
        <f>R125-R124</f>
        <v>3342.6414541222002</v>
      </c>
      <c r="S126" s="50">
        <f>S125-S124</f>
        <v>3342.6414541222002</v>
      </c>
      <c r="T126" s="50">
        <f>T125-T124</f>
        <v>3342.6414541222002</v>
      </c>
      <c r="U126" s="50">
        <f>U125-U124</f>
        <v>3342.6414541222002</v>
      </c>
      <c r="V126" s="50">
        <f>V125-V124</f>
        <v>3342.6414541222002</v>
      </c>
      <c r="W126" s="50">
        <f>W125-W124</f>
        <v>3342.6414541222002</v>
      </c>
      <c r="X126" s="50">
        <f>X125-X124</f>
        <v>3342.6414541222002</v>
      </c>
      <c r="Y126" s="50">
        <f>Y125-Y124</f>
        <v>3342.6414541222002</v>
      </c>
      <c r="Z126" s="50">
        <f>Z125-Z124</f>
        <v>3342.6414541222002</v>
      </c>
      <c r="AA126" s="50">
        <f>AA125-AA124</f>
        <v>3342.6414541222002</v>
      </c>
      <c r="AB126" s="50">
        <f>AB125-AB124</f>
        <v>40111.69744946641</v>
      </c>
      <c r="AC126" s="50">
        <f>AC125-AC124</f>
        <v>3660.1923922638098</v>
      </c>
      <c r="AD126" s="50">
        <f>AD125-AD124</f>
        <v>3660.1923922638098</v>
      </c>
      <c r="AE126" s="50">
        <f>AE125-AE124</f>
        <v>3660.1923922638098</v>
      </c>
      <c r="AF126" s="50">
        <f>AF125-AF124</f>
        <v>3660.1923922638098</v>
      </c>
      <c r="AG126" s="50">
        <f>AG125-AG124</f>
        <v>3660.1923922638098</v>
      </c>
      <c r="AH126" s="50">
        <f>AH125-AH124</f>
        <v>3660.1923922638098</v>
      </c>
      <c r="AI126" s="50">
        <f>AI125-AI124</f>
        <v>3660.1923922638098</v>
      </c>
      <c r="AJ126" s="50">
        <f>AJ125-AJ124</f>
        <v>3660.1923922638098</v>
      </c>
      <c r="AK126" s="50">
        <f>AK125-AK124</f>
        <v>3660.1923922638098</v>
      </c>
      <c r="AL126" s="50">
        <f>AL125-AL124</f>
        <v>3660.1923922638098</v>
      </c>
      <c r="AM126" s="50">
        <f>AM125-AM124</f>
        <v>3660.1923922638098</v>
      </c>
      <c r="AN126" s="50">
        <f>AN125-AN124</f>
        <v>3660.1923922638098</v>
      </c>
      <c r="AO126" s="50">
        <f>AO125-AO124</f>
        <v>43922.308707165721</v>
      </c>
      <c r="AP126" s="50">
        <f>AP125-AP124</f>
        <v>4007.9106695288715</v>
      </c>
      <c r="AQ126" s="50">
        <f>AQ125-AQ124</f>
        <v>4007.9106695288715</v>
      </c>
      <c r="AR126" s="50">
        <f>AR125-AR124</f>
        <v>4007.9106695288715</v>
      </c>
      <c r="AS126" s="50">
        <f>AS125-AS124</f>
        <v>4007.9106695288715</v>
      </c>
      <c r="AT126" s="50">
        <f>AT125-AT124</f>
        <v>4007.9106695288715</v>
      </c>
      <c r="AU126" s="50">
        <f>AU125-AU124</f>
        <v>4007.9106695288715</v>
      </c>
      <c r="AV126" s="50">
        <f>AV125-AV124</f>
        <v>4007.9106695288715</v>
      </c>
      <c r="AW126" s="50">
        <f>AW125-AW124</f>
        <v>4007.9106695288715</v>
      </c>
      <c r="AX126" s="50">
        <f>AX125-AX124</f>
        <v>4007.9106695288715</v>
      </c>
      <c r="AY126" s="50">
        <f>AY125-AY124</f>
        <v>4007.9106695288715</v>
      </c>
      <c r="AZ126" s="50">
        <f>AZ125-AZ124</f>
        <v>4007.9106695288715</v>
      </c>
      <c r="BA126" s="50">
        <f>BA125-BA124</f>
        <v>4007.9106695288715</v>
      </c>
      <c r="BB126" s="50">
        <f>BB125-BB124</f>
        <v>48094.928034346463</v>
      </c>
      <c r="BC126" s="50">
        <f>BC125-BC124</f>
        <v>4388.6621831341145</v>
      </c>
      <c r="BD126" s="50">
        <f>BD125-BD124</f>
        <v>4388.6621831341145</v>
      </c>
      <c r="BE126" s="50">
        <f>BE125-BE124</f>
        <v>4388.6621831341145</v>
      </c>
      <c r="BF126" s="50">
        <f>BF125-BF124</f>
        <v>4388.6621831341145</v>
      </c>
      <c r="BG126" s="50">
        <f>BG125-BG124</f>
        <v>4388.6621831341145</v>
      </c>
      <c r="BH126" s="50">
        <f>BH125-BH124</f>
        <v>4388.6621831341145</v>
      </c>
      <c r="BI126" s="50">
        <f>BI125-BI124</f>
        <v>4388.6621831341145</v>
      </c>
      <c r="BJ126" s="50">
        <f>BJ125-BJ124</f>
        <v>4388.6621831341145</v>
      </c>
      <c r="BK126" s="50">
        <f>BK125-BK124</f>
        <v>4388.6621831341145</v>
      </c>
      <c r="BL126" s="50">
        <f>BL125-BL124</f>
        <v>4388.6621831341145</v>
      </c>
      <c r="BM126" s="50">
        <f>BM125-BM124</f>
        <v>4388.6621831341145</v>
      </c>
      <c r="BN126" s="50">
        <f>BN125-BN124</f>
        <v>4388.6621831341145</v>
      </c>
      <c r="BO126" s="50">
        <f>BO125-BO124</f>
        <v>52663.946197609373</v>
      </c>
    </row>
    <row r="127" ht="15" customHeight="1">
      <c r="A127" s="74" t="inlineStr">
        <is>
          <t>Ending Balance</t>
        </is>
      </c>
      <c r="C127" s="52">
        <f>C123-C126</f>
        <v>566947.0594026281</v>
      </c>
      <c r="D127" s="52">
        <f>D123-D126</f>
        <v>563894.41880525625</v>
      </c>
      <c r="E127" s="52">
        <f>E123-E126</f>
        <v>560841.7782078844</v>
      </c>
      <c r="F127" s="52">
        <f>F123-F126</f>
        <v>557789.13761051255</v>
      </c>
      <c r="G127" s="52">
        <f>G123-G126</f>
        <v>554736.4970131407</v>
      </c>
      <c r="H127" s="52">
        <f>H123-H126</f>
        <v>551683.85641576885</v>
      </c>
      <c r="I127" s="52">
        <f>I123-I126</f>
        <v>548631.215818397</v>
      </c>
      <c r="J127" s="52">
        <f>J123-J126</f>
        <v>545578.57522102515</v>
      </c>
      <c r="K127" s="52">
        <f>K123-K126</f>
        <v>542525.9346236533</v>
      </c>
      <c r="L127" s="52">
        <f>L123-L126</f>
        <v>539473.29402628145</v>
      </c>
      <c r="M127" s="52">
        <f>M123-M126</f>
        <v>536420.6534289096</v>
      </c>
      <c r="N127" s="52">
        <f>N123-N126</f>
        <v>533368.01283153775</v>
      </c>
      <c r="O127" s="52">
        <f>O123-O126</f>
        <v>533368.01283153752</v>
      </c>
      <c r="P127" s="52">
        <f>P123-P126</f>
        <v>530025.37137741537</v>
      </c>
      <c r="Q127" s="52">
        <f>Q123-Q126</f>
        <v>526682.72992329323</v>
      </c>
      <c r="R127" s="52">
        <f>R123-R126</f>
        <v>523340.08846917102</v>
      </c>
      <c r="S127" s="52">
        <f>S123-S126</f>
        <v>519997.44701504882</v>
      </c>
      <c r="T127" s="52">
        <f>T123-T126</f>
        <v>516654.80556092662</v>
      </c>
      <c r="U127" s="52">
        <f>U123-U126</f>
        <v>513312.16410680441</v>
      </c>
      <c r="V127" s="52">
        <f>V123-V126</f>
        <v>509969.52265268221</v>
      </c>
      <c r="W127" s="52">
        <f>W123-W126</f>
        <v>506626.88119856</v>
      </c>
      <c r="X127" s="52">
        <f>X123-X126</f>
        <v>503284.2397444378</v>
      </c>
      <c r="Y127" s="52">
        <f>Y123-Y126</f>
        <v>499941.5982903156</v>
      </c>
      <c r="Z127" s="52">
        <f>Z123-Z126</f>
        <v>496598.95683619339</v>
      </c>
      <c r="AA127" s="52">
        <f>AA123-AA126</f>
        <v>493256.31538207119</v>
      </c>
      <c r="AB127" s="52">
        <f>AB123-AB126</f>
        <v>493256.31538207113</v>
      </c>
      <c r="AC127" s="52">
        <f>AC123-AC126</f>
        <v>489596.12298980734</v>
      </c>
      <c r="AD127" s="52">
        <f>AD123-AD126</f>
        <v>485935.93059754354</v>
      </c>
      <c r="AE127" s="52">
        <f>AE123-AE126</f>
        <v>482275.73820527975</v>
      </c>
      <c r="AF127" s="52">
        <f>AF123-AF126</f>
        <v>478615.54581301595</v>
      </c>
      <c r="AG127" s="52">
        <f>AG123-AG126</f>
        <v>474955.35342075216</v>
      </c>
      <c r="AH127" s="52">
        <f>AH123-AH126</f>
        <v>471295.16102848836</v>
      </c>
      <c r="AI127" s="52">
        <f>AI123-AI126</f>
        <v>467634.96863622457</v>
      </c>
      <c r="AJ127" s="52">
        <f>AJ123-AJ126</f>
        <v>463974.77624396078</v>
      </c>
      <c r="AK127" s="52">
        <f>AK123-AK126</f>
        <v>460314.58385169698</v>
      </c>
      <c r="AL127" s="52">
        <f>AL123-AL126</f>
        <v>456654.39145943319</v>
      </c>
      <c r="AM127" s="52">
        <f>AM123-AM126</f>
        <v>452994.19906716939</v>
      </c>
      <c r="AN127" s="52">
        <f>AN123-AN126</f>
        <v>449334.0066749056</v>
      </c>
      <c r="AO127" s="52">
        <f>AO123-AO126</f>
        <v>449334.00667490542</v>
      </c>
      <c r="AP127" s="52">
        <f>AP123-AP126</f>
        <v>445326.09600537654</v>
      </c>
      <c r="AQ127" s="52">
        <f>AQ123-AQ126</f>
        <v>441318.18533584767</v>
      </c>
      <c r="AR127" s="52">
        <f>AR123-AR126</f>
        <v>437310.27466631879</v>
      </c>
      <c r="AS127" s="52">
        <f>AS123-AS126</f>
        <v>433302.36399678991</v>
      </c>
      <c r="AT127" s="52">
        <f>AT123-AT126</f>
        <v>429294.45332726103</v>
      </c>
      <c r="AU127" s="52">
        <f>AU123-AU126</f>
        <v>425286.54265773215</v>
      </c>
      <c r="AV127" s="52">
        <f>AV123-AV126</f>
        <v>421278.63198820327</v>
      </c>
      <c r="AW127" s="52">
        <f>AW123-AW126</f>
        <v>417270.72131867439</v>
      </c>
      <c r="AX127" s="52">
        <f>AX123-AX126</f>
        <v>413262.81064914551</v>
      </c>
      <c r="AY127" s="52">
        <f>AY123-AY126</f>
        <v>409254.89997961663</v>
      </c>
      <c r="AZ127" s="52">
        <f>AZ123-AZ126</f>
        <v>405246.98931008775</v>
      </c>
      <c r="BA127" s="52">
        <f>BA123-BA126</f>
        <v>401239.07864055887</v>
      </c>
      <c r="BB127" s="52">
        <f>BB123-BB126</f>
        <v>401239.07864055899</v>
      </c>
      <c r="BC127" s="52">
        <f>BC123-BC126</f>
        <v>396850.41645742487</v>
      </c>
      <c r="BD127" s="52">
        <f>BD123-BD126</f>
        <v>392461.75427429075</v>
      </c>
      <c r="BE127" s="52">
        <f>BE123-BE126</f>
        <v>388073.09209115664</v>
      </c>
      <c r="BF127" s="52">
        <f>BF123-BF126</f>
        <v>383684.42990802252</v>
      </c>
      <c r="BG127" s="52">
        <f>BG123-BG126</f>
        <v>379295.7677248884</v>
      </c>
      <c r="BH127" s="52">
        <f>BH123-BH126</f>
        <v>374907.10554175428</v>
      </c>
      <c r="BI127" s="52">
        <f>BI123-BI126</f>
        <v>370518.44335862016</v>
      </c>
      <c r="BJ127" s="52">
        <f>BJ123-BJ126</f>
        <v>366129.78117548604</v>
      </c>
      <c r="BK127" s="52">
        <f>BK123-BK126</f>
        <v>361741.11899235193</v>
      </c>
      <c r="BL127" s="52">
        <f>BL123-BL126</f>
        <v>357352.45680921781</v>
      </c>
      <c r="BM127" s="52">
        <f>BM123-BM126</f>
        <v>352963.79462608369</v>
      </c>
      <c r="BN127" s="52">
        <f>BN123-BN126</f>
        <v>348575.13244294957</v>
      </c>
      <c r="BO127" s="52">
        <f>BO123-BO126</f>
        <v>348575.13244294963</v>
      </c>
    </row>
    <row r="128"/>
    <row r="129" ht="15" customHeight="1">
      <c r="A129" s="44" t="inlineStr">
        <is>
          <t>Schedule 4 — Seller Note Amortization (Currently $0 — See Assumptions §2)</t>
        </is>
      </c>
    </row>
    <row r="130" ht="15" customHeight="1">
      <c r="A130" s="47" t="n"/>
      <c r="C130" s="48" t="inlineStr">
        <is>
          <t>M1</t>
        </is>
      </c>
      <c r="D130" s="48" t="inlineStr">
        <is>
          <t>M2</t>
        </is>
      </c>
      <c r="E130" s="48" t="inlineStr">
        <is>
          <t>M3</t>
        </is>
      </c>
      <c r="F130" s="48" t="inlineStr">
        <is>
          <t>M4</t>
        </is>
      </c>
      <c r="G130" s="48" t="inlineStr">
        <is>
          <t>M5</t>
        </is>
      </c>
      <c r="H130" s="48" t="inlineStr">
        <is>
          <t>M6</t>
        </is>
      </c>
      <c r="I130" s="48" t="inlineStr">
        <is>
          <t>M7</t>
        </is>
      </c>
      <c r="J130" s="48" t="inlineStr">
        <is>
          <t>M8</t>
        </is>
      </c>
      <c r="K130" s="48" t="inlineStr">
        <is>
          <t>M9</t>
        </is>
      </c>
      <c r="L130" s="48" t="inlineStr">
        <is>
          <t>M10</t>
        </is>
      </c>
      <c r="M130" s="48" t="inlineStr">
        <is>
          <t>M11</t>
        </is>
      </c>
      <c r="N130" s="48" t="inlineStr">
        <is>
          <t>M12</t>
        </is>
      </c>
      <c r="O130" s="48" t="inlineStr">
        <is>
          <t>Year 1</t>
        </is>
      </c>
      <c r="P130" s="48" t="inlineStr">
        <is>
          <t>M1</t>
        </is>
      </c>
      <c r="Q130" s="48" t="inlineStr">
        <is>
          <t>M2</t>
        </is>
      </c>
      <c r="R130" s="48" t="inlineStr">
        <is>
          <t>M3</t>
        </is>
      </c>
      <c r="S130" s="48" t="inlineStr">
        <is>
          <t>M4</t>
        </is>
      </c>
      <c r="T130" s="48" t="inlineStr">
        <is>
          <t>M5</t>
        </is>
      </c>
      <c r="U130" s="48" t="inlineStr">
        <is>
          <t>M6</t>
        </is>
      </c>
      <c r="V130" s="48" t="inlineStr">
        <is>
          <t>M7</t>
        </is>
      </c>
      <c r="W130" s="48" t="inlineStr">
        <is>
          <t>M8</t>
        </is>
      </c>
      <c r="X130" s="48" t="inlineStr">
        <is>
          <t>M9</t>
        </is>
      </c>
      <c r="Y130" s="48" t="inlineStr">
        <is>
          <t>M10</t>
        </is>
      </c>
      <c r="Z130" s="48" t="inlineStr">
        <is>
          <t>M11</t>
        </is>
      </c>
      <c r="AA130" s="48" t="inlineStr">
        <is>
          <t>M12</t>
        </is>
      </c>
      <c r="AB130" s="48" t="inlineStr">
        <is>
          <t>Year 2</t>
        </is>
      </c>
      <c r="AC130" s="48" t="inlineStr">
        <is>
          <t>M1</t>
        </is>
      </c>
      <c r="AD130" s="48" t="inlineStr">
        <is>
          <t>M2</t>
        </is>
      </c>
      <c r="AE130" s="48" t="inlineStr">
        <is>
          <t>M3</t>
        </is>
      </c>
      <c r="AF130" s="48" t="inlineStr">
        <is>
          <t>M4</t>
        </is>
      </c>
      <c r="AG130" s="48" t="inlineStr">
        <is>
          <t>M5</t>
        </is>
      </c>
      <c r="AH130" s="48" t="inlineStr">
        <is>
          <t>M6</t>
        </is>
      </c>
      <c r="AI130" s="48" t="inlineStr">
        <is>
          <t>M7</t>
        </is>
      </c>
      <c r="AJ130" s="48" t="inlineStr">
        <is>
          <t>M8</t>
        </is>
      </c>
      <c r="AK130" s="48" t="inlineStr">
        <is>
          <t>M9</t>
        </is>
      </c>
      <c r="AL130" s="48" t="inlineStr">
        <is>
          <t>M10</t>
        </is>
      </c>
      <c r="AM130" s="48" t="inlineStr">
        <is>
          <t>M11</t>
        </is>
      </c>
      <c r="AN130" s="48" t="inlineStr">
        <is>
          <t>M12</t>
        </is>
      </c>
      <c r="AO130" s="48" t="inlineStr">
        <is>
          <t>Year 3</t>
        </is>
      </c>
      <c r="AP130" s="48" t="inlineStr">
        <is>
          <t>M1</t>
        </is>
      </c>
      <c r="AQ130" s="48" t="inlineStr">
        <is>
          <t>M2</t>
        </is>
      </c>
      <c r="AR130" s="48" t="inlineStr">
        <is>
          <t>M3</t>
        </is>
      </c>
      <c r="AS130" s="48" t="inlineStr">
        <is>
          <t>M4</t>
        </is>
      </c>
      <c r="AT130" s="48" t="inlineStr">
        <is>
          <t>M5</t>
        </is>
      </c>
      <c r="AU130" s="48" t="inlineStr">
        <is>
          <t>M6</t>
        </is>
      </c>
      <c r="AV130" s="48" t="inlineStr">
        <is>
          <t>M7</t>
        </is>
      </c>
      <c r="AW130" s="48" t="inlineStr">
        <is>
          <t>M8</t>
        </is>
      </c>
      <c r="AX130" s="48" t="inlineStr">
        <is>
          <t>M9</t>
        </is>
      </c>
      <c r="AY130" s="48" t="inlineStr">
        <is>
          <t>M10</t>
        </is>
      </c>
      <c r="AZ130" s="48" t="inlineStr">
        <is>
          <t>M11</t>
        </is>
      </c>
      <c r="BA130" s="48" t="inlineStr">
        <is>
          <t>M12</t>
        </is>
      </c>
      <c r="BB130" s="48" t="inlineStr">
        <is>
          <t>Year 4</t>
        </is>
      </c>
      <c r="BC130" s="48" t="inlineStr">
        <is>
          <t>M1</t>
        </is>
      </c>
      <c r="BD130" s="48" t="inlineStr">
        <is>
          <t>M2</t>
        </is>
      </c>
      <c r="BE130" s="48" t="inlineStr">
        <is>
          <t>M3</t>
        </is>
      </c>
      <c r="BF130" s="48" t="inlineStr">
        <is>
          <t>M4</t>
        </is>
      </c>
      <c r="BG130" s="48" t="inlineStr">
        <is>
          <t>M5</t>
        </is>
      </c>
      <c r="BH130" s="48" t="inlineStr">
        <is>
          <t>M6</t>
        </is>
      </c>
      <c r="BI130" s="48" t="inlineStr">
        <is>
          <t>M7</t>
        </is>
      </c>
      <c r="BJ130" s="48" t="inlineStr">
        <is>
          <t>M8</t>
        </is>
      </c>
      <c r="BK130" s="48" t="inlineStr">
        <is>
          <t>M9</t>
        </is>
      </c>
      <c r="BL130" s="48" t="inlineStr">
        <is>
          <t>M10</t>
        </is>
      </c>
      <c r="BM130" s="48" t="inlineStr">
        <is>
          <t>M11</t>
        </is>
      </c>
      <c r="BN130" s="48" t="inlineStr">
        <is>
          <t>M12</t>
        </is>
      </c>
      <c r="BO130" s="48" t="inlineStr">
        <is>
          <t>Year 5</t>
        </is>
      </c>
    </row>
    <row r="131" ht="15" customHeight="1">
      <c r="A131" s="49" t="inlineStr">
        <is>
          <t>Beginning Balance</t>
        </is>
      </c>
      <c r="C131" s="50">
        <f>Assumptions!E17</f>
        <v>0</v>
      </c>
      <c r="D131" s="50">
        <f>C135</f>
        <v>0</v>
      </c>
      <c r="E131" s="50">
        <f>D135</f>
        <v>0</v>
      </c>
      <c r="F131" s="50">
        <f>E135</f>
        <v>0</v>
      </c>
      <c r="G131" s="50">
        <f>F135</f>
        <v>0</v>
      </c>
      <c r="H131" s="50">
        <f>G135</f>
        <v>0</v>
      </c>
      <c r="I131" s="50">
        <f>H135</f>
        <v>0</v>
      </c>
      <c r="J131" s="50">
        <f>I135</f>
        <v>0</v>
      </c>
      <c r="K131" s="50">
        <f>J135</f>
        <v>0</v>
      </c>
      <c r="L131" s="50">
        <f>K135</f>
        <v>0</v>
      </c>
      <c r="M131" s="50">
        <f>L135</f>
        <v>0</v>
      </c>
      <c r="N131" s="50">
        <f>M135</f>
        <v>0</v>
      </c>
      <c r="O131" s="50">
        <f>Assumptions!E17</f>
        <v>0</v>
      </c>
      <c r="P131" s="50">
        <f>O135</f>
        <v>0</v>
      </c>
      <c r="Q131" s="50">
        <f>P135</f>
        <v>0</v>
      </c>
      <c r="R131" s="50">
        <f>Q135</f>
        <v>0</v>
      </c>
      <c r="S131" s="50">
        <f>R135</f>
        <v>0</v>
      </c>
      <c r="T131" s="50">
        <f>S135</f>
        <v>0</v>
      </c>
      <c r="U131" s="50">
        <f>T135</f>
        <v>0</v>
      </c>
      <c r="V131" s="50">
        <f>U135</f>
        <v>0</v>
      </c>
      <c r="W131" s="50">
        <f>V135</f>
        <v>0</v>
      </c>
      <c r="X131" s="50">
        <f>W135</f>
        <v>0</v>
      </c>
      <c r="Y131" s="50">
        <f>X135</f>
        <v>0</v>
      </c>
      <c r="Z131" s="50">
        <f>Y135</f>
        <v>0</v>
      </c>
      <c r="AA131" s="50">
        <f>Z135</f>
        <v>0</v>
      </c>
      <c r="AB131" s="50">
        <f>O135</f>
        <v>0</v>
      </c>
      <c r="AC131" s="50">
        <f>AB135</f>
        <v>0</v>
      </c>
      <c r="AD131" s="50">
        <f>AC135</f>
        <v>0</v>
      </c>
      <c r="AE131" s="50">
        <f>AD135</f>
        <v>0</v>
      </c>
      <c r="AF131" s="50">
        <f>AE135</f>
        <v>0</v>
      </c>
      <c r="AG131" s="50">
        <f>AF135</f>
        <v>0</v>
      </c>
      <c r="AH131" s="50">
        <f>AG135</f>
        <v>0</v>
      </c>
      <c r="AI131" s="50">
        <f>AH135</f>
        <v>0</v>
      </c>
      <c r="AJ131" s="50">
        <f>AI135</f>
        <v>0</v>
      </c>
      <c r="AK131" s="50">
        <f>AJ135</f>
        <v>0</v>
      </c>
      <c r="AL131" s="50">
        <f>AK135</f>
        <v>0</v>
      </c>
      <c r="AM131" s="50">
        <f>AL135</f>
        <v>0</v>
      </c>
      <c r="AN131" s="50">
        <f>AM135</f>
        <v>0</v>
      </c>
      <c r="AO131" s="50">
        <f>AB135</f>
        <v>0</v>
      </c>
      <c r="AP131" s="50">
        <f>AO135</f>
        <v>0</v>
      </c>
      <c r="AQ131" s="50">
        <f>AP135</f>
        <v>0</v>
      </c>
      <c r="AR131" s="50">
        <f>AQ135</f>
        <v>0</v>
      </c>
      <c r="AS131" s="50">
        <f>AR135</f>
        <v>0</v>
      </c>
      <c r="AT131" s="50">
        <f>AS135</f>
        <v>0</v>
      </c>
      <c r="AU131" s="50">
        <f>AT135</f>
        <v>0</v>
      </c>
      <c r="AV131" s="50">
        <f>AU135</f>
        <v>0</v>
      </c>
      <c r="AW131" s="50">
        <f>AV135</f>
        <v>0</v>
      </c>
      <c r="AX131" s="50">
        <f>AW135</f>
        <v>0</v>
      </c>
      <c r="AY131" s="50">
        <f>AX135</f>
        <v>0</v>
      </c>
      <c r="AZ131" s="50">
        <f>AY135</f>
        <v>0</v>
      </c>
      <c r="BA131" s="50">
        <f>AZ135</f>
        <v>0</v>
      </c>
      <c r="BB131" s="50">
        <f>AO135</f>
        <v>0</v>
      </c>
      <c r="BC131" s="50">
        <f>BB135</f>
        <v>0</v>
      </c>
      <c r="BD131" s="50">
        <f>BC135</f>
        <v>0</v>
      </c>
      <c r="BE131" s="50">
        <f>BD135</f>
        <v>0</v>
      </c>
      <c r="BF131" s="50">
        <f>BE135</f>
        <v>0</v>
      </c>
      <c r="BG131" s="50">
        <f>BF135</f>
        <v>0</v>
      </c>
      <c r="BH131" s="50">
        <f>BG135</f>
        <v>0</v>
      </c>
      <c r="BI131" s="50">
        <f>BH135</f>
        <v>0</v>
      </c>
      <c r="BJ131" s="50">
        <f>BI135</f>
        <v>0</v>
      </c>
      <c r="BK131" s="50">
        <f>BJ135</f>
        <v>0</v>
      </c>
      <c r="BL131" s="50">
        <f>BK135</f>
        <v>0</v>
      </c>
      <c r="BM131" s="50">
        <f>BL135</f>
        <v>0</v>
      </c>
      <c r="BN131" s="50">
        <f>BM135</f>
        <v>0</v>
      </c>
      <c r="BO131" s="50">
        <f>BB135</f>
        <v>0</v>
      </c>
    </row>
    <row r="132" ht="15" customHeight="1">
      <c r="A132" s="49" t="inlineStr">
        <is>
          <t>Interest</t>
        </is>
      </c>
      <c r="C132" s="50">
        <f>$O132/12</f>
        <v>0</v>
      </c>
      <c r="D132" s="50">
        <f>$O132/12</f>
        <v>0</v>
      </c>
      <c r="E132" s="50">
        <f>$O132/12</f>
        <v>0</v>
      </c>
      <c r="F132" s="50">
        <f>$O132/12</f>
        <v>0</v>
      </c>
      <c r="G132" s="50">
        <f>$O132/12</f>
        <v>0</v>
      </c>
      <c r="H132" s="50">
        <f>$O132/12</f>
        <v>0</v>
      </c>
      <c r="I132" s="50">
        <f>$O132/12</f>
        <v>0</v>
      </c>
      <c r="J132" s="50">
        <f>$O132/12</f>
        <v>0</v>
      </c>
      <c r="K132" s="50">
        <f>$O132/12</f>
        <v>0</v>
      </c>
      <c r="L132" s="50">
        <f>$O132/12</f>
        <v>0</v>
      </c>
      <c r="M132" s="50">
        <f>$O132/12</f>
        <v>0</v>
      </c>
      <c r="N132" s="50">
        <f>$O132/12</f>
        <v>0</v>
      </c>
      <c r="O132" s="50">
        <f>O131*Assumptions!E18</f>
        <v>0</v>
      </c>
      <c r="P132" s="50">
        <f>$AB132/12</f>
        <v>0</v>
      </c>
      <c r="Q132" s="50">
        <f>$AB132/12</f>
        <v>0</v>
      </c>
      <c r="R132" s="50">
        <f>$AB132/12</f>
        <v>0</v>
      </c>
      <c r="S132" s="50">
        <f>$AB132/12</f>
        <v>0</v>
      </c>
      <c r="T132" s="50">
        <f>$AB132/12</f>
        <v>0</v>
      </c>
      <c r="U132" s="50">
        <f>$AB132/12</f>
        <v>0</v>
      </c>
      <c r="V132" s="50">
        <f>$AB132/12</f>
        <v>0</v>
      </c>
      <c r="W132" s="50">
        <f>$AB132/12</f>
        <v>0</v>
      </c>
      <c r="X132" s="50">
        <f>$AB132/12</f>
        <v>0</v>
      </c>
      <c r="Y132" s="50">
        <f>$AB132/12</f>
        <v>0</v>
      </c>
      <c r="Z132" s="50">
        <f>$AB132/12</f>
        <v>0</v>
      </c>
      <c r="AA132" s="50">
        <f>$AB132/12</f>
        <v>0</v>
      </c>
      <c r="AB132" s="50">
        <f>AB131*Assumptions!E18</f>
        <v>0</v>
      </c>
      <c r="AC132" s="50">
        <f>$AO132/12</f>
        <v>0</v>
      </c>
      <c r="AD132" s="50">
        <f>$AO132/12</f>
        <v>0</v>
      </c>
      <c r="AE132" s="50">
        <f>$AO132/12</f>
        <v>0</v>
      </c>
      <c r="AF132" s="50">
        <f>$AO132/12</f>
        <v>0</v>
      </c>
      <c r="AG132" s="50">
        <f>$AO132/12</f>
        <v>0</v>
      </c>
      <c r="AH132" s="50">
        <f>$AO132/12</f>
        <v>0</v>
      </c>
      <c r="AI132" s="50">
        <f>$AO132/12</f>
        <v>0</v>
      </c>
      <c r="AJ132" s="50">
        <f>$AO132/12</f>
        <v>0</v>
      </c>
      <c r="AK132" s="50">
        <f>$AO132/12</f>
        <v>0</v>
      </c>
      <c r="AL132" s="50">
        <f>$AO132/12</f>
        <v>0</v>
      </c>
      <c r="AM132" s="50">
        <f>$AO132/12</f>
        <v>0</v>
      </c>
      <c r="AN132" s="50">
        <f>$AO132/12</f>
        <v>0</v>
      </c>
      <c r="AO132" s="50">
        <f>AO131*Assumptions!E18</f>
        <v>0</v>
      </c>
      <c r="AP132" s="50">
        <f>$BB132/12</f>
        <v>0</v>
      </c>
      <c r="AQ132" s="50">
        <f>$BB132/12</f>
        <v>0</v>
      </c>
      <c r="AR132" s="50">
        <f>$BB132/12</f>
        <v>0</v>
      </c>
      <c r="AS132" s="50">
        <f>$BB132/12</f>
        <v>0</v>
      </c>
      <c r="AT132" s="50">
        <f>$BB132/12</f>
        <v>0</v>
      </c>
      <c r="AU132" s="50">
        <f>$BB132/12</f>
        <v>0</v>
      </c>
      <c r="AV132" s="50">
        <f>$BB132/12</f>
        <v>0</v>
      </c>
      <c r="AW132" s="50">
        <f>$BB132/12</f>
        <v>0</v>
      </c>
      <c r="AX132" s="50">
        <f>$BB132/12</f>
        <v>0</v>
      </c>
      <c r="AY132" s="50">
        <f>$BB132/12</f>
        <v>0</v>
      </c>
      <c r="AZ132" s="50">
        <f>$BB132/12</f>
        <v>0</v>
      </c>
      <c r="BA132" s="50">
        <f>$BB132/12</f>
        <v>0</v>
      </c>
      <c r="BB132" s="50">
        <f>BB131*Assumptions!E18</f>
        <v>0</v>
      </c>
      <c r="BC132" s="50">
        <f>$BO132/12</f>
        <v>0</v>
      </c>
      <c r="BD132" s="50">
        <f>$BO132/12</f>
        <v>0</v>
      </c>
      <c r="BE132" s="50">
        <f>$BO132/12</f>
        <v>0</v>
      </c>
      <c r="BF132" s="50">
        <f>$BO132/12</f>
        <v>0</v>
      </c>
      <c r="BG132" s="50">
        <f>$BO132/12</f>
        <v>0</v>
      </c>
      <c r="BH132" s="50">
        <f>$BO132/12</f>
        <v>0</v>
      </c>
      <c r="BI132" s="50">
        <f>$BO132/12</f>
        <v>0</v>
      </c>
      <c r="BJ132" s="50">
        <f>$BO132/12</f>
        <v>0</v>
      </c>
      <c r="BK132" s="50">
        <f>$BO132/12</f>
        <v>0</v>
      </c>
      <c r="BL132" s="50">
        <f>$BO132/12</f>
        <v>0</v>
      </c>
      <c r="BM132" s="50">
        <f>$BO132/12</f>
        <v>0</v>
      </c>
      <c r="BN132" s="50">
        <f>$BO132/12</f>
        <v>0</v>
      </c>
      <c r="BO132" s="50">
        <f>BO131*Assumptions!E18</f>
        <v>0</v>
      </c>
    </row>
    <row r="133" ht="15" customHeight="1">
      <c r="A133" s="49" t="inlineStr">
        <is>
          <t>Total Payment</t>
        </is>
      </c>
      <c r="C133" s="50">
        <f>$O133/12</f>
        <v>0</v>
      </c>
      <c r="D133" s="50">
        <f>$O133/12</f>
        <v>0</v>
      </c>
      <c r="E133" s="50">
        <f>$O133/12</f>
        <v>0</v>
      </c>
      <c r="F133" s="50">
        <f>$O133/12</f>
        <v>0</v>
      </c>
      <c r="G133" s="50">
        <f>$O133/12</f>
        <v>0</v>
      </c>
      <c r="H133" s="50">
        <f>$O133/12</f>
        <v>0</v>
      </c>
      <c r="I133" s="50">
        <f>$O133/12</f>
        <v>0</v>
      </c>
      <c r="J133" s="50">
        <f>$O133/12</f>
        <v>0</v>
      </c>
      <c r="K133" s="50">
        <f>$O133/12</f>
        <v>0</v>
      </c>
      <c r="L133" s="50">
        <f>$O133/12</f>
        <v>0</v>
      </c>
      <c r="M133" s="50">
        <f>$O133/12</f>
        <v>0</v>
      </c>
      <c r="N133" s="50">
        <f>$O133/12</f>
        <v>0</v>
      </c>
      <c r="O133" s="50">
        <f>IFERROR(-PMT(Assumptions!E18,Assumptions!E19,Assumptions!E17),0)</f>
        <v>0</v>
      </c>
      <c r="P133" s="50">
        <f>$AB133/12</f>
        <v>0</v>
      </c>
      <c r="Q133" s="50">
        <f>$AB133/12</f>
        <v>0</v>
      </c>
      <c r="R133" s="50">
        <f>$AB133/12</f>
        <v>0</v>
      </c>
      <c r="S133" s="50">
        <f>$AB133/12</f>
        <v>0</v>
      </c>
      <c r="T133" s="50">
        <f>$AB133/12</f>
        <v>0</v>
      </c>
      <c r="U133" s="50">
        <f>$AB133/12</f>
        <v>0</v>
      </c>
      <c r="V133" s="50">
        <f>$AB133/12</f>
        <v>0</v>
      </c>
      <c r="W133" s="50">
        <f>$AB133/12</f>
        <v>0</v>
      </c>
      <c r="X133" s="50">
        <f>$AB133/12</f>
        <v>0</v>
      </c>
      <c r="Y133" s="50">
        <f>$AB133/12</f>
        <v>0</v>
      </c>
      <c r="Z133" s="50">
        <f>$AB133/12</f>
        <v>0</v>
      </c>
      <c r="AA133" s="50">
        <f>$AB133/12</f>
        <v>0</v>
      </c>
      <c r="AB133" s="50">
        <f>IFERROR(-PMT(Assumptions!E18,Assumptions!E19,Assumptions!E17),0)</f>
        <v>0</v>
      </c>
      <c r="AC133" s="50">
        <f>$AO133/12</f>
        <v>0</v>
      </c>
      <c r="AD133" s="50">
        <f>$AO133/12</f>
        <v>0</v>
      </c>
      <c r="AE133" s="50">
        <f>$AO133/12</f>
        <v>0</v>
      </c>
      <c r="AF133" s="50">
        <f>$AO133/12</f>
        <v>0</v>
      </c>
      <c r="AG133" s="50">
        <f>$AO133/12</f>
        <v>0</v>
      </c>
      <c r="AH133" s="50">
        <f>$AO133/12</f>
        <v>0</v>
      </c>
      <c r="AI133" s="50">
        <f>$AO133/12</f>
        <v>0</v>
      </c>
      <c r="AJ133" s="50">
        <f>$AO133/12</f>
        <v>0</v>
      </c>
      <c r="AK133" s="50">
        <f>$AO133/12</f>
        <v>0</v>
      </c>
      <c r="AL133" s="50">
        <f>$AO133/12</f>
        <v>0</v>
      </c>
      <c r="AM133" s="50">
        <f>$AO133/12</f>
        <v>0</v>
      </c>
      <c r="AN133" s="50">
        <f>$AO133/12</f>
        <v>0</v>
      </c>
      <c r="AO133" s="50">
        <f>IFERROR(-PMT(Assumptions!E18,Assumptions!E19,Assumptions!E17),0)</f>
        <v>0</v>
      </c>
      <c r="AP133" s="50">
        <f>$BB133/12</f>
        <v>0</v>
      </c>
      <c r="AQ133" s="50">
        <f>$BB133/12</f>
        <v>0</v>
      </c>
      <c r="AR133" s="50">
        <f>$BB133/12</f>
        <v>0</v>
      </c>
      <c r="AS133" s="50">
        <f>$BB133/12</f>
        <v>0</v>
      </c>
      <c r="AT133" s="50">
        <f>$BB133/12</f>
        <v>0</v>
      </c>
      <c r="AU133" s="50">
        <f>$BB133/12</f>
        <v>0</v>
      </c>
      <c r="AV133" s="50">
        <f>$BB133/12</f>
        <v>0</v>
      </c>
      <c r="AW133" s="50">
        <f>$BB133/12</f>
        <v>0</v>
      </c>
      <c r="AX133" s="50">
        <f>$BB133/12</f>
        <v>0</v>
      </c>
      <c r="AY133" s="50">
        <f>$BB133/12</f>
        <v>0</v>
      </c>
      <c r="AZ133" s="50">
        <f>$BB133/12</f>
        <v>0</v>
      </c>
      <c r="BA133" s="50">
        <f>$BB133/12</f>
        <v>0</v>
      </c>
      <c r="BB133" s="50">
        <f>IFERROR(-PMT(Assumptions!E18,Assumptions!E19,Assumptions!E17),0)</f>
        <v>0</v>
      </c>
      <c r="BC133" s="50">
        <f>$BO133/12</f>
        <v>0</v>
      </c>
      <c r="BD133" s="50">
        <f>$BO133/12</f>
        <v>0</v>
      </c>
      <c r="BE133" s="50">
        <f>$BO133/12</f>
        <v>0</v>
      </c>
      <c r="BF133" s="50">
        <f>$BO133/12</f>
        <v>0</v>
      </c>
      <c r="BG133" s="50">
        <f>$BO133/12</f>
        <v>0</v>
      </c>
      <c r="BH133" s="50">
        <f>$BO133/12</f>
        <v>0</v>
      </c>
      <c r="BI133" s="50">
        <f>$BO133/12</f>
        <v>0</v>
      </c>
      <c r="BJ133" s="50">
        <f>$BO133/12</f>
        <v>0</v>
      </c>
      <c r="BK133" s="50">
        <f>$BO133/12</f>
        <v>0</v>
      </c>
      <c r="BL133" s="50">
        <f>$BO133/12</f>
        <v>0</v>
      </c>
      <c r="BM133" s="50">
        <f>$BO133/12</f>
        <v>0</v>
      </c>
      <c r="BN133" s="50">
        <f>$BO133/12</f>
        <v>0</v>
      </c>
      <c r="BO133" s="50">
        <f>IFERROR(-PMT(Assumptions!E18,Assumptions!E19,Assumptions!E17),0)</f>
        <v>0</v>
      </c>
    </row>
    <row r="134" ht="15" customHeight="1">
      <c r="A134" s="49" t="inlineStr">
        <is>
          <t>Principal</t>
        </is>
      </c>
      <c r="C134" s="50">
        <f>C133-C132</f>
        <v>0</v>
      </c>
      <c r="D134" s="50">
        <f>D133-D132</f>
        <v>0</v>
      </c>
      <c r="E134" s="50">
        <f>E133-E132</f>
        <v>0</v>
      </c>
      <c r="F134" s="50">
        <f>F133-F132</f>
        <v>0</v>
      </c>
      <c r="G134" s="50">
        <f>G133-G132</f>
        <v>0</v>
      </c>
      <c r="H134" s="50">
        <f>H133-H132</f>
        <v>0</v>
      </c>
      <c r="I134" s="50">
        <f>I133-I132</f>
        <v>0</v>
      </c>
      <c r="J134" s="50">
        <f>J133-J132</f>
        <v>0</v>
      </c>
      <c r="K134" s="50">
        <f>K133-K132</f>
        <v>0</v>
      </c>
      <c r="L134" s="50">
        <f>L133-L132</f>
        <v>0</v>
      </c>
      <c r="M134" s="50">
        <f>M133-M132</f>
        <v>0</v>
      </c>
      <c r="N134" s="50">
        <f>N133-N132</f>
        <v>0</v>
      </c>
      <c r="O134" s="50">
        <f>O133-O132</f>
        <v>0</v>
      </c>
      <c r="P134" s="50">
        <f>P133-P132</f>
        <v>0</v>
      </c>
      <c r="Q134" s="50">
        <f>Q133-Q132</f>
        <v>0</v>
      </c>
      <c r="R134" s="50">
        <f>R133-R132</f>
        <v>0</v>
      </c>
      <c r="S134" s="50">
        <f>S133-S132</f>
        <v>0</v>
      </c>
      <c r="T134" s="50">
        <f>T133-T132</f>
        <v>0</v>
      </c>
      <c r="U134" s="50">
        <f>U133-U132</f>
        <v>0</v>
      </c>
      <c r="V134" s="50">
        <f>V133-V132</f>
        <v>0</v>
      </c>
      <c r="W134" s="50">
        <f>W133-W132</f>
        <v>0</v>
      </c>
      <c r="X134" s="50">
        <f>X133-X132</f>
        <v>0</v>
      </c>
      <c r="Y134" s="50">
        <f>Y133-Y132</f>
        <v>0</v>
      </c>
      <c r="Z134" s="50">
        <f>Z133-Z132</f>
        <v>0</v>
      </c>
      <c r="AA134" s="50">
        <f>AA133-AA132</f>
        <v>0</v>
      </c>
      <c r="AB134" s="50">
        <f>AB133-AB132</f>
        <v>0</v>
      </c>
      <c r="AC134" s="50">
        <f>AC133-AC132</f>
        <v>0</v>
      </c>
      <c r="AD134" s="50">
        <f>AD133-AD132</f>
        <v>0</v>
      </c>
      <c r="AE134" s="50">
        <f>AE133-AE132</f>
        <v>0</v>
      </c>
      <c r="AF134" s="50">
        <f>AF133-AF132</f>
        <v>0</v>
      </c>
      <c r="AG134" s="50">
        <f>AG133-AG132</f>
        <v>0</v>
      </c>
      <c r="AH134" s="50">
        <f>AH133-AH132</f>
        <v>0</v>
      </c>
      <c r="AI134" s="50">
        <f>AI133-AI132</f>
        <v>0</v>
      </c>
      <c r="AJ134" s="50">
        <f>AJ133-AJ132</f>
        <v>0</v>
      </c>
      <c r="AK134" s="50">
        <f>AK133-AK132</f>
        <v>0</v>
      </c>
      <c r="AL134" s="50">
        <f>AL133-AL132</f>
        <v>0</v>
      </c>
      <c r="AM134" s="50">
        <f>AM133-AM132</f>
        <v>0</v>
      </c>
      <c r="AN134" s="50">
        <f>AN133-AN132</f>
        <v>0</v>
      </c>
      <c r="AO134" s="50">
        <f>AO133-AO132</f>
        <v>0</v>
      </c>
      <c r="AP134" s="50">
        <f>AP133-AP132</f>
        <v>0</v>
      </c>
      <c r="AQ134" s="50">
        <f>AQ133-AQ132</f>
        <v>0</v>
      </c>
      <c r="AR134" s="50">
        <f>AR133-AR132</f>
        <v>0</v>
      </c>
      <c r="AS134" s="50">
        <f>AS133-AS132</f>
        <v>0</v>
      </c>
      <c r="AT134" s="50">
        <f>AT133-AT132</f>
        <v>0</v>
      </c>
      <c r="AU134" s="50">
        <f>AU133-AU132</f>
        <v>0</v>
      </c>
      <c r="AV134" s="50">
        <f>AV133-AV132</f>
        <v>0</v>
      </c>
      <c r="AW134" s="50">
        <f>AW133-AW132</f>
        <v>0</v>
      </c>
      <c r="AX134" s="50">
        <f>AX133-AX132</f>
        <v>0</v>
      </c>
      <c r="AY134" s="50">
        <f>AY133-AY132</f>
        <v>0</v>
      </c>
      <c r="AZ134" s="50">
        <f>AZ133-AZ132</f>
        <v>0</v>
      </c>
      <c r="BA134" s="50">
        <f>BA133-BA132</f>
        <v>0</v>
      </c>
      <c r="BB134" s="50">
        <f>BB133-BB132</f>
        <v>0</v>
      </c>
      <c r="BC134" s="50">
        <f>BC133-BC132</f>
        <v>0</v>
      </c>
      <c r="BD134" s="50">
        <f>BD133-BD132</f>
        <v>0</v>
      </c>
      <c r="BE134" s="50">
        <f>BE133-BE132</f>
        <v>0</v>
      </c>
      <c r="BF134" s="50">
        <f>BF133-BF132</f>
        <v>0</v>
      </c>
      <c r="BG134" s="50">
        <f>BG133-BG132</f>
        <v>0</v>
      </c>
      <c r="BH134" s="50">
        <f>BH133-BH132</f>
        <v>0</v>
      </c>
      <c r="BI134" s="50">
        <f>BI133-BI132</f>
        <v>0</v>
      </c>
      <c r="BJ134" s="50">
        <f>BJ133-BJ132</f>
        <v>0</v>
      </c>
      <c r="BK134" s="50">
        <f>BK133-BK132</f>
        <v>0</v>
      </c>
      <c r="BL134" s="50">
        <f>BL133-BL132</f>
        <v>0</v>
      </c>
      <c r="BM134" s="50">
        <f>BM133-BM132</f>
        <v>0</v>
      </c>
      <c r="BN134" s="50">
        <f>BN133-BN132</f>
        <v>0</v>
      </c>
      <c r="BO134" s="50">
        <f>BO133-BO132</f>
        <v>0</v>
      </c>
    </row>
    <row r="135" ht="15" customHeight="1">
      <c r="A135" s="74" t="inlineStr">
        <is>
          <t>Ending Balance</t>
        </is>
      </c>
      <c r="C135" s="52">
        <f>C131-C134</f>
        <v>0</v>
      </c>
      <c r="D135" s="52">
        <f>D131-D134</f>
        <v>0</v>
      </c>
      <c r="E135" s="52">
        <f>E131-E134</f>
        <v>0</v>
      </c>
      <c r="F135" s="52">
        <f>F131-F134</f>
        <v>0</v>
      </c>
      <c r="G135" s="52">
        <f>G131-G134</f>
        <v>0</v>
      </c>
      <c r="H135" s="52">
        <f>H131-H134</f>
        <v>0</v>
      </c>
      <c r="I135" s="52">
        <f>I131-I134</f>
        <v>0</v>
      </c>
      <c r="J135" s="52">
        <f>J131-J134</f>
        <v>0</v>
      </c>
      <c r="K135" s="52">
        <f>K131-K134</f>
        <v>0</v>
      </c>
      <c r="L135" s="52">
        <f>L131-L134</f>
        <v>0</v>
      </c>
      <c r="M135" s="52">
        <f>M131-M134</f>
        <v>0</v>
      </c>
      <c r="N135" s="52">
        <f>N131-N134</f>
        <v>0</v>
      </c>
      <c r="O135" s="52">
        <f>O131-O134</f>
        <v>0</v>
      </c>
      <c r="P135" s="52">
        <f>P131-P134</f>
        <v>0</v>
      </c>
      <c r="Q135" s="52">
        <f>Q131-Q134</f>
        <v>0</v>
      </c>
      <c r="R135" s="52">
        <f>R131-R134</f>
        <v>0</v>
      </c>
      <c r="S135" s="52">
        <f>S131-S134</f>
        <v>0</v>
      </c>
      <c r="T135" s="52">
        <f>T131-T134</f>
        <v>0</v>
      </c>
      <c r="U135" s="52">
        <f>U131-U134</f>
        <v>0</v>
      </c>
      <c r="V135" s="52">
        <f>V131-V134</f>
        <v>0</v>
      </c>
      <c r="W135" s="52">
        <f>W131-W134</f>
        <v>0</v>
      </c>
      <c r="X135" s="52">
        <f>X131-X134</f>
        <v>0</v>
      </c>
      <c r="Y135" s="52">
        <f>Y131-Y134</f>
        <v>0</v>
      </c>
      <c r="Z135" s="52">
        <f>Z131-Z134</f>
        <v>0</v>
      </c>
      <c r="AA135" s="52">
        <f>AA131-AA134</f>
        <v>0</v>
      </c>
      <c r="AB135" s="52">
        <f>AB131-AB134</f>
        <v>0</v>
      </c>
      <c r="AC135" s="52">
        <f>AC131-AC134</f>
        <v>0</v>
      </c>
      <c r="AD135" s="52">
        <f>AD131-AD134</f>
        <v>0</v>
      </c>
      <c r="AE135" s="52">
        <f>AE131-AE134</f>
        <v>0</v>
      </c>
      <c r="AF135" s="52">
        <f>AF131-AF134</f>
        <v>0</v>
      </c>
      <c r="AG135" s="52">
        <f>AG131-AG134</f>
        <v>0</v>
      </c>
      <c r="AH135" s="52">
        <f>AH131-AH134</f>
        <v>0</v>
      </c>
      <c r="AI135" s="52">
        <f>AI131-AI134</f>
        <v>0</v>
      </c>
      <c r="AJ135" s="52">
        <f>AJ131-AJ134</f>
        <v>0</v>
      </c>
      <c r="AK135" s="52">
        <f>AK131-AK134</f>
        <v>0</v>
      </c>
      <c r="AL135" s="52">
        <f>AL131-AL134</f>
        <v>0</v>
      </c>
      <c r="AM135" s="52">
        <f>AM131-AM134</f>
        <v>0</v>
      </c>
      <c r="AN135" s="52">
        <f>AN131-AN134</f>
        <v>0</v>
      </c>
      <c r="AO135" s="52">
        <f>AO131-AO134</f>
        <v>0</v>
      </c>
      <c r="AP135" s="52">
        <f>AP131-AP134</f>
        <v>0</v>
      </c>
      <c r="AQ135" s="52">
        <f>AQ131-AQ134</f>
        <v>0</v>
      </c>
      <c r="AR135" s="52">
        <f>AR131-AR134</f>
        <v>0</v>
      </c>
      <c r="AS135" s="52">
        <f>AS131-AS134</f>
        <v>0</v>
      </c>
      <c r="AT135" s="52">
        <f>AT131-AT134</f>
        <v>0</v>
      </c>
      <c r="AU135" s="52">
        <f>AU131-AU134</f>
        <v>0</v>
      </c>
      <c r="AV135" s="52">
        <f>AV131-AV134</f>
        <v>0</v>
      </c>
      <c r="AW135" s="52">
        <f>AW131-AW134</f>
        <v>0</v>
      </c>
      <c r="AX135" s="52">
        <f>AX131-AX134</f>
        <v>0</v>
      </c>
      <c r="AY135" s="52">
        <f>AY131-AY134</f>
        <v>0</v>
      </c>
      <c r="AZ135" s="52">
        <f>AZ131-AZ134</f>
        <v>0</v>
      </c>
      <c r="BA135" s="52">
        <f>BA131-BA134</f>
        <v>0</v>
      </c>
      <c r="BB135" s="52">
        <f>BB131-BB134</f>
        <v>0</v>
      </c>
      <c r="BC135" s="52">
        <f>BC131-BC134</f>
        <v>0</v>
      </c>
      <c r="BD135" s="52">
        <f>BD131-BD134</f>
        <v>0</v>
      </c>
      <c r="BE135" s="52">
        <f>BE131-BE134</f>
        <v>0</v>
      </c>
      <c r="BF135" s="52">
        <f>BF131-BF134</f>
        <v>0</v>
      </c>
      <c r="BG135" s="52">
        <f>BG131-BG134</f>
        <v>0</v>
      </c>
      <c r="BH135" s="52">
        <f>BH131-BH134</f>
        <v>0</v>
      </c>
      <c r="BI135" s="52">
        <f>BI131-BI134</f>
        <v>0</v>
      </c>
      <c r="BJ135" s="52">
        <f>BJ131-BJ134</f>
        <v>0</v>
      </c>
      <c r="BK135" s="52">
        <f>BK131-BK134</f>
        <v>0</v>
      </c>
      <c r="BL135" s="52">
        <f>BL131-BL134</f>
        <v>0</v>
      </c>
      <c r="BM135" s="52">
        <f>BM131-BM134</f>
        <v>0</v>
      </c>
      <c r="BN135" s="52">
        <f>BN131-BN134</f>
        <v>0</v>
      </c>
      <c r="BO135" s="52">
        <f>BO131-BO134</f>
        <v>0</v>
      </c>
    </row>
    <row r="136"/>
    <row r="137" ht="15" customHeight="1">
      <c r="A137" s="44" t="inlineStr">
        <is>
          <t>Schedule 5 — Taxes (Pass-Through Entity)</t>
        </is>
      </c>
    </row>
    <row r="138" ht="15" customHeight="1">
      <c r="A138" s="47" t="n"/>
      <c r="C138" s="48" t="inlineStr">
        <is>
          <t>M1</t>
        </is>
      </c>
      <c r="D138" s="48" t="inlineStr">
        <is>
          <t>M2</t>
        </is>
      </c>
      <c r="E138" s="48" t="inlineStr">
        <is>
          <t>M3</t>
        </is>
      </c>
      <c r="F138" s="48" t="inlineStr">
        <is>
          <t>M4</t>
        </is>
      </c>
      <c r="G138" s="48" t="inlineStr">
        <is>
          <t>M5</t>
        </is>
      </c>
      <c r="H138" s="48" t="inlineStr">
        <is>
          <t>M6</t>
        </is>
      </c>
      <c r="I138" s="48" t="inlineStr">
        <is>
          <t>M7</t>
        </is>
      </c>
      <c r="J138" s="48" t="inlineStr">
        <is>
          <t>M8</t>
        </is>
      </c>
      <c r="K138" s="48" t="inlineStr">
        <is>
          <t>M9</t>
        </is>
      </c>
      <c r="L138" s="48" t="inlineStr">
        <is>
          <t>M10</t>
        </is>
      </c>
      <c r="M138" s="48" t="inlineStr">
        <is>
          <t>M11</t>
        </is>
      </c>
      <c r="N138" s="48" t="inlineStr">
        <is>
          <t>M12</t>
        </is>
      </c>
      <c r="O138" s="48" t="inlineStr">
        <is>
          <t>Year 1</t>
        </is>
      </c>
      <c r="P138" s="48" t="inlineStr">
        <is>
          <t>M1</t>
        </is>
      </c>
      <c r="Q138" s="48" t="inlineStr">
        <is>
          <t>M2</t>
        </is>
      </c>
      <c r="R138" s="48" t="inlineStr">
        <is>
          <t>M3</t>
        </is>
      </c>
      <c r="S138" s="48" t="inlineStr">
        <is>
          <t>M4</t>
        </is>
      </c>
      <c r="T138" s="48" t="inlineStr">
        <is>
          <t>M5</t>
        </is>
      </c>
      <c r="U138" s="48" t="inlineStr">
        <is>
          <t>M6</t>
        </is>
      </c>
      <c r="V138" s="48" t="inlineStr">
        <is>
          <t>M7</t>
        </is>
      </c>
      <c r="W138" s="48" t="inlineStr">
        <is>
          <t>M8</t>
        </is>
      </c>
      <c r="X138" s="48" t="inlineStr">
        <is>
          <t>M9</t>
        </is>
      </c>
      <c r="Y138" s="48" t="inlineStr">
        <is>
          <t>M10</t>
        </is>
      </c>
      <c r="Z138" s="48" t="inlineStr">
        <is>
          <t>M11</t>
        </is>
      </c>
      <c r="AA138" s="48" t="inlineStr">
        <is>
          <t>M12</t>
        </is>
      </c>
      <c r="AB138" s="48" t="inlineStr">
        <is>
          <t>Year 2</t>
        </is>
      </c>
      <c r="AC138" s="48" t="inlineStr">
        <is>
          <t>M1</t>
        </is>
      </c>
      <c r="AD138" s="48" t="inlineStr">
        <is>
          <t>M2</t>
        </is>
      </c>
      <c r="AE138" s="48" t="inlineStr">
        <is>
          <t>M3</t>
        </is>
      </c>
      <c r="AF138" s="48" t="inlineStr">
        <is>
          <t>M4</t>
        </is>
      </c>
      <c r="AG138" s="48" t="inlineStr">
        <is>
          <t>M5</t>
        </is>
      </c>
      <c r="AH138" s="48" t="inlineStr">
        <is>
          <t>M6</t>
        </is>
      </c>
      <c r="AI138" s="48" t="inlineStr">
        <is>
          <t>M7</t>
        </is>
      </c>
      <c r="AJ138" s="48" t="inlineStr">
        <is>
          <t>M8</t>
        </is>
      </c>
      <c r="AK138" s="48" t="inlineStr">
        <is>
          <t>M9</t>
        </is>
      </c>
      <c r="AL138" s="48" t="inlineStr">
        <is>
          <t>M10</t>
        </is>
      </c>
      <c r="AM138" s="48" t="inlineStr">
        <is>
          <t>M11</t>
        </is>
      </c>
      <c r="AN138" s="48" t="inlineStr">
        <is>
          <t>M12</t>
        </is>
      </c>
      <c r="AO138" s="48" t="inlineStr">
        <is>
          <t>Year 3</t>
        </is>
      </c>
      <c r="AP138" s="48" t="inlineStr">
        <is>
          <t>M1</t>
        </is>
      </c>
      <c r="AQ138" s="48" t="inlineStr">
        <is>
          <t>M2</t>
        </is>
      </c>
      <c r="AR138" s="48" t="inlineStr">
        <is>
          <t>M3</t>
        </is>
      </c>
      <c r="AS138" s="48" t="inlineStr">
        <is>
          <t>M4</t>
        </is>
      </c>
      <c r="AT138" s="48" t="inlineStr">
        <is>
          <t>M5</t>
        </is>
      </c>
      <c r="AU138" s="48" t="inlineStr">
        <is>
          <t>M6</t>
        </is>
      </c>
      <c r="AV138" s="48" t="inlineStr">
        <is>
          <t>M7</t>
        </is>
      </c>
      <c r="AW138" s="48" t="inlineStr">
        <is>
          <t>M8</t>
        </is>
      </c>
      <c r="AX138" s="48" t="inlineStr">
        <is>
          <t>M9</t>
        </is>
      </c>
      <c r="AY138" s="48" t="inlineStr">
        <is>
          <t>M10</t>
        </is>
      </c>
      <c r="AZ138" s="48" t="inlineStr">
        <is>
          <t>M11</t>
        </is>
      </c>
      <c r="BA138" s="48" t="inlineStr">
        <is>
          <t>M12</t>
        </is>
      </c>
      <c r="BB138" s="48" t="inlineStr">
        <is>
          <t>Year 4</t>
        </is>
      </c>
      <c r="BC138" s="48" t="inlineStr">
        <is>
          <t>M1</t>
        </is>
      </c>
      <c r="BD138" s="48" t="inlineStr">
        <is>
          <t>M2</t>
        </is>
      </c>
      <c r="BE138" s="48" t="inlineStr">
        <is>
          <t>M3</t>
        </is>
      </c>
      <c r="BF138" s="48" t="inlineStr">
        <is>
          <t>M4</t>
        </is>
      </c>
      <c r="BG138" s="48" t="inlineStr">
        <is>
          <t>M5</t>
        </is>
      </c>
      <c r="BH138" s="48" t="inlineStr">
        <is>
          <t>M6</t>
        </is>
      </c>
      <c r="BI138" s="48" t="inlineStr">
        <is>
          <t>M7</t>
        </is>
      </c>
      <c r="BJ138" s="48" t="inlineStr">
        <is>
          <t>M8</t>
        </is>
      </c>
      <c r="BK138" s="48" t="inlineStr">
        <is>
          <t>M9</t>
        </is>
      </c>
      <c r="BL138" s="48" t="inlineStr">
        <is>
          <t>M10</t>
        </is>
      </c>
      <c r="BM138" s="48" t="inlineStr">
        <is>
          <t>M11</t>
        </is>
      </c>
      <c r="BN138" s="48" t="inlineStr">
        <is>
          <t>M12</t>
        </is>
      </c>
      <c r="BO138" s="48" t="inlineStr">
        <is>
          <t>Year 5</t>
        </is>
      </c>
    </row>
    <row r="139" ht="15" customHeight="1">
      <c r="A139" s="49" t="inlineStr">
        <is>
          <t>Pretax Income (Entity)</t>
        </is>
      </c>
      <c r="C139" s="50">
        <f>C34</f>
        <v>7618.7000015416597</v>
      </c>
      <c r="D139" s="50">
        <f>D34</f>
        <v>7618.7000015416597</v>
      </c>
      <c r="E139" s="50">
        <f>E34</f>
        <v>7618.7000015416597</v>
      </c>
      <c r="F139" s="50">
        <f>F34</f>
        <v>7618.7000015416597</v>
      </c>
      <c r="G139" s="50">
        <f>G34</f>
        <v>7618.7000015416597</v>
      </c>
      <c r="H139" s="50">
        <f>H34</f>
        <v>7618.7000015416597</v>
      </c>
      <c r="I139" s="50">
        <f>I34</f>
        <v>7618.7000015416597</v>
      </c>
      <c r="J139" s="50">
        <f>J34</f>
        <v>7618.7000015416597</v>
      </c>
      <c r="K139" s="50">
        <f>K34</f>
        <v>7618.7000015416597</v>
      </c>
      <c r="L139" s="50">
        <f>L34</f>
        <v>7618.7000015416597</v>
      </c>
      <c r="M139" s="50">
        <f>M34</f>
        <v>7618.7000015416597</v>
      </c>
      <c r="N139" s="50">
        <f>N34</f>
        <v>7618.7000015416597</v>
      </c>
      <c r="O139" s="50">
        <f>O34</f>
        <v>91424.400018499975</v>
      </c>
      <c r="P139" s="50">
        <f>P34</f>
        <v>3920.2116274169812</v>
      </c>
      <c r="Q139" s="50">
        <f>Q34</f>
        <v>3920.2116274169812</v>
      </c>
      <c r="R139" s="50">
        <f>R34</f>
        <v>3920.2116274169812</v>
      </c>
      <c r="S139" s="50">
        <f>S34</f>
        <v>3920.2116274169812</v>
      </c>
      <c r="T139" s="50">
        <f>T34</f>
        <v>3920.2116274169812</v>
      </c>
      <c r="U139" s="50">
        <f>U34</f>
        <v>3920.2116274169812</v>
      </c>
      <c r="V139" s="50">
        <f>V34</f>
        <v>3920.2116274169812</v>
      </c>
      <c r="W139" s="50">
        <f>W34</f>
        <v>3920.2116274169812</v>
      </c>
      <c r="X139" s="50">
        <f>X34</f>
        <v>3920.2116274169812</v>
      </c>
      <c r="Y139" s="50">
        <f>Y34</f>
        <v>3920.2116274169812</v>
      </c>
      <c r="Z139" s="50">
        <f>Z34</f>
        <v>3920.2116274169812</v>
      </c>
      <c r="AA139" s="50">
        <f>AA34</f>
        <v>3920.2116274169812</v>
      </c>
      <c r="AB139" s="50">
        <f>AB34</f>
        <v>47042.539529003749</v>
      </c>
      <c r="AC139" s="50">
        <f>AC34</f>
        <v>4772.463195121094</v>
      </c>
      <c r="AD139" s="50">
        <f>AD34</f>
        <v>4772.463195121094</v>
      </c>
      <c r="AE139" s="50">
        <f>AE34</f>
        <v>4772.463195121094</v>
      </c>
      <c r="AF139" s="50">
        <f>AF34</f>
        <v>4772.463195121094</v>
      </c>
      <c r="AG139" s="50">
        <f>AG34</f>
        <v>4772.463195121094</v>
      </c>
      <c r="AH139" s="50">
        <f>AH34</f>
        <v>4772.463195121094</v>
      </c>
      <c r="AI139" s="50">
        <f>AI34</f>
        <v>4772.463195121094</v>
      </c>
      <c r="AJ139" s="50">
        <f>AJ34</f>
        <v>4772.463195121094</v>
      </c>
      <c r="AK139" s="50">
        <f>AK34</f>
        <v>4772.463195121094</v>
      </c>
      <c r="AL139" s="50">
        <f>AL34</f>
        <v>4772.463195121094</v>
      </c>
      <c r="AM139" s="50">
        <f>AM34</f>
        <v>4772.463195121094</v>
      </c>
      <c r="AN139" s="50">
        <f>AN34</f>
        <v>4772.463195121094</v>
      </c>
      <c r="AO139" s="50">
        <f>AO34</f>
        <v>57269.55834145299</v>
      </c>
      <c r="AP139" s="50">
        <f>AP34</f>
        <v>5661.1944345543488</v>
      </c>
      <c r="AQ139" s="50">
        <f>AQ34</f>
        <v>5661.1944345543488</v>
      </c>
      <c r="AR139" s="50">
        <f>AR34</f>
        <v>5661.1944345543488</v>
      </c>
      <c r="AS139" s="50">
        <f>AS34</f>
        <v>5661.1944345543488</v>
      </c>
      <c r="AT139" s="50">
        <f>AT34</f>
        <v>5661.1944345543488</v>
      </c>
      <c r="AU139" s="50">
        <f>AU34</f>
        <v>5661.1944345543488</v>
      </c>
      <c r="AV139" s="50">
        <f>AV34</f>
        <v>5661.1944345543488</v>
      </c>
      <c r="AW139" s="50">
        <f>AW34</f>
        <v>5661.1944345543488</v>
      </c>
      <c r="AX139" s="50">
        <f>AX34</f>
        <v>5661.1944345543488</v>
      </c>
      <c r="AY139" s="50">
        <f>AY34</f>
        <v>5661.1944345543488</v>
      </c>
      <c r="AZ139" s="50">
        <f>AZ34</f>
        <v>5661.1944345543488</v>
      </c>
      <c r="BA139" s="50">
        <f>BA34</f>
        <v>5661.1944345543488</v>
      </c>
      <c r="BB139" s="50">
        <f>BB34</f>
        <v>67934.333214652113</v>
      </c>
      <c r="BC139" s="50">
        <f>BC34</f>
        <v>6587.0759446028387</v>
      </c>
      <c r="BD139" s="50">
        <f>BD34</f>
        <v>6587.0759446028387</v>
      </c>
      <c r="BE139" s="50">
        <f>BE34</f>
        <v>6587.0759446028387</v>
      </c>
      <c r="BF139" s="50">
        <f>BF34</f>
        <v>6587.0759446028387</v>
      </c>
      <c r="BG139" s="50">
        <f>BG34</f>
        <v>6587.0759446028387</v>
      </c>
      <c r="BH139" s="50">
        <f>BH34</f>
        <v>6587.0759446028387</v>
      </c>
      <c r="BI139" s="50">
        <f>BI34</f>
        <v>6587.0759446028387</v>
      </c>
      <c r="BJ139" s="50">
        <f>BJ34</f>
        <v>6587.0759446028387</v>
      </c>
      <c r="BK139" s="50">
        <f>BK34</f>
        <v>6587.0759446028387</v>
      </c>
      <c r="BL139" s="50">
        <f>BL34</f>
        <v>6587.0759446028387</v>
      </c>
      <c r="BM139" s="50">
        <f>BM34</f>
        <v>6587.0759446028387</v>
      </c>
      <c r="BN139" s="50">
        <f>BN34</f>
        <v>6587.0759446028387</v>
      </c>
      <c r="BO139" s="50">
        <f>BO34</f>
        <v>79044.911335234094</v>
      </c>
    </row>
    <row r="140" ht="15" customHeight="1">
      <c r="A140" s="49" t="inlineStr">
        <is>
          <t>Entity-Level Income Tax</t>
        </is>
      </c>
      <c r="C140" s="50">
        <f>C35</f>
        <v>0</v>
      </c>
      <c r="D140" s="50">
        <f>D35</f>
        <v>0</v>
      </c>
      <c r="E140" s="50">
        <f>E35</f>
        <v>0</v>
      </c>
      <c r="F140" s="50">
        <f>F35</f>
        <v>0</v>
      </c>
      <c r="G140" s="50">
        <f>G35</f>
        <v>0</v>
      </c>
      <c r="H140" s="50">
        <f>H35</f>
        <v>0</v>
      </c>
      <c r="I140" s="50">
        <f>I35</f>
        <v>0</v>
      </c>
      <c r="J140" s="50">
        <f>J35</f>
        <v>0</v>
      </c>
      <c r="K140" s="50">
        <f>K35</f>
        <v>0</v>
      </c>
      <c r="L140" s="50">
        <f>L35</f>
        <v>0</v>
      </c>
      <c r="M140" s="50">
        <f>M35</f>
        <v>0</v>
      </c>
      <c r="N140" s="50">
        <f>N35</f>
        <v>0</v>
      </c>
      <c r="O140" s="50">
        <f>O35</f>
        <v>0</v>
      </c>
      <c r="P140" s="50">
        <f>P35</f>
        <v>0</v>
      </c>
      <c r="Q140" s="50">
        <f>Q35</f>
        <v>0</v>
      </c>
      <c r="R140" s="50">
        <f>R35</f>
        <v>0</v>
      </c>
      <c r="S140" s="50">
        <f>S35</f>
        <v>0</v>
      </c>
      <c r="T140" s="50">
        <f>T35</f>
        <v>0</v>
      </c>
      <c r="U140" s="50">
        <f>U35</f>
        <v>0</v>
      </c>
      <c r="V140" s="50">
        <f>V35</f>
        <v>0</v>
      </c>
      <c r="W140" s="50">
        <f>W35</f>
        <v>0</v>
      </c>
      <c r="X140" s="50">
        <f>X35</f>
        <v>0</v>
      </c>
      <c r="Y140" s="50">
        <f>Y35</f>
        <v>0</v>
      </c>
      <c r="Z140" s="50">
        <f>Z35</f>
        <v>0</v>
      </c>
      <c r="AA140" s="50">
        <f>AA35</f>
        <v>0</v>
      </c>
      <c r="AB140" s="50">
        <f>AB35</f>
        <v>0</v>
      </c>
      <c r="AC140" s="50">
        <f>AC35</f>
        <v>0</v>
      </c>
      <c r="AD140" s="50">
        <f>AD35</f>
        <v>0</v>
      </c>
      <c r="AE140" s="50">
        <f>AE35</f>
        <v>0</v>
      </c>
      <c r="AF140" s="50">
        <f>AF35</f>
        <v>0</v>
      </c>
      <c r="AG140" s="50">
        <f>AG35</f>
        <v>0</v>
      </c>
      <c r="AH140" s="50">
        <f>AH35</f>
        <v>0</v>
      </c>
      <c r="AI140" s="50">
        <f>AI35</f>
        <v>0</v>
      </c>
      <c r="AJ140" s="50">
        <f>AJ35</f>
        <v>0</v>
      </c>
      <c r="AK140" s="50">
        <f>AK35</f>
        <v>0</v>
      </c>
      <c r="AL140" s="50">
        <f>AL35</f>
        <v>0</v>
      </c>
      <c r="AM140" s="50">
        <f>AM35</f>
        <v>0</v>
      </c>
      <c r="AN140" s="50">
        <f>AN35</f>
        <v>0</v>
      </c>
      <c r="AO140" s="50">
        <f>AO35</f>
        <v>0</v>
      </c>
      <c r="AP140" s="50">
        <f>AP35</f>
        <v>0</v>
      </c>
      <c r="AQ140" s="50">
        <f>AQ35</f>
        <v>0</v>
      </c>
      <c r="AR140" s="50">
        <f>AR35</f>
        <v>0</v>
      </c>
      <c r="AS140" s="50">
        <f>AS35</f>
        <v>0</v>
      </c>
      <c r="AT140" s="50">
        <f>AT35</f>
        <v>0</v>
      </c>
      <c r="AU140" s="50">
        <f>AU35</f>
        <v>0</v>
      </c>
      <c r="AV140" s="50">
        <f>AV35</f>
        <v>0</v>
      </c>
      <c r="AW140" s="50">
        <f>AW35</f>
        <v>0</v>
      </c>
      <c r="AX140" s="50">
        <f>AX35</f>
        <v>0</v>
      </c>
      <c r="AY140" s="50">
        <f>AY35</f>
        <v>0</v>
      </c>
      <c r="AZ140" s="50">
        <f>AZ35</f>
        <v>0</v>
      </c>
      <c r="BA140" s="50">
        <f>BA35</f>
        <v>0</v>
      </c>
      <c r="BB140" s="50">
        <f>BB35</f>
        <v>0</v>
      </c>
      <c r="BC140" s="50">
        <f>BC35</f>
        <v>0</v>
      </c>
      <c r="BD140" s="50">
        <f>BD35</f>
        <v>0</v>
      </c>
      <c r="BE140" s="50">
        <f>BE35</f>
        <v>0</v>
      </c>
      <c r="BF140" s="50">
        <f>BF35</f>
        <v>0</v>
      </c>
      <c r="BG140" s="50">
        <f>BG35</f>
        <v>0</v>
      </c>
      <c r="BH140" s="50">
        <f>BH35</f>
        <v>0</v>
      </c>
      <c r="BI140" s="50">
        <f>BI35</f>
        <v>0</v>
      </c>
      <c r="BJ140" s="50">
        <f>BJ35</f>
        <v>0</v>
      </c>
      <c r="BK140" s="50">
        <f>BK35</f>
        <v>0</v>
      </c>
      <c r="BL140" s="50">
        <f>BL35</f>
        <v>0</v>
      </c>
      <c r="BM140" s="50">
        <f>BM35</f>
        <v>0</v>
      </c>
      <c r="BN140" s="50">
        <f>BN35</f>
        <v>0</v>
      </c>
      <c r="BO140" s="50">
        <f>BO35</f>
        <v>0</v>
      </c>
    </row>
    <row r="141" ht="15" customHeight="1">
      <c r="A141" s="51" t="inlineStr">
        <is>
          <t>Net Income (Pass-Through to Owner)</t>
        </is>
      </c>
      <c r="B141" s="53" t="n"/>
      <c r="C141" s="52">
        <f>C36</f>
        <v>7618.7000015416597</v>
      </c>
      <c r="D141" s="52">
        <f>D36</f>
        <v>7618.7000015416597</v>
      </c>
      <c r="E141" s="52">
        <f>E36</f>
        <v>7618.7000015416597</v>
      </c>
      <c r="F141" s="52">
        <f>F36</f>
        <v>7618.7000015416597</v>
      </c>
      <c r="G141" s="52">
        <f>G36</f>
        <v>7618.7000015416597</v>
      </c>
      <c r="H141" s="52">
        <f>H36</f>
        <v>7618.7000015416597</v>
      </c>
      <c r="I141" s="52">
        <f>I36</f>
        <v>7618.7000015416597</v>
      </c>
      <c r="J141" s="52">
        <f>J36</f>
        <v>7618.7000015416597</v>
      </c>
      <c r="K141" s="52">
        <f>K36</f>
        <v>7618.7000015416597</v>
      </c>
      <c r="L141" s="52">
        <f>L36</f>
        <v>7618.7000015416597</v>
      </c>
      <c r="M141" s="52">
        <f>M36</f>
        <v>7618.7000015416597</v>
      </c>
      <c r="N141" s="52">
        <f>N36</f>
        <v>7618.7000015416597</v>
      </c>
      <c r="O141" s="52">
        <f>O36</f>
        <v>91424.400018499975</v>
      </c>
      <c r="P141" s="52">
        <f>P36</f>
        <v>3920.2116274169812</v>
      </c>
      <c r="Q141" s="52">
        <f>Q36</f>
        <v>3920.2116274169812</v>
      </c>
      <c r="R141" s="52">
        <f>R36</f>
        <v>3920.2116274169812</v>
      </c>
      <c r="S141" s="52">
        <f>S36</f>
        <v>3920.2116274169812</v>
      </c>
      <c r="T141" s="52">
        <f>T36</f>
        <v>3920.2116274169812</v>
      </c>
      <c r="U141" s="52">
        <f>U36</f>
        <v>3920.2116274169812</v>
      </c>
      <c r="V141" s="52">
        <f>V36</f>
        <v>3920.2116274169812</v>
      </c>
      <c r="W141" s="52">
        <f>W36</f>
        <v>3920.2116274169812</v>
      </c>
      <c r="X141" s="52">
        <f>X36</f>
        <v>3920.2116274169812</v>
      </c>
      <c r="Y141" s="52">
        <f>Y36</f>
        <v>3920.2116274169812</v>
      </c>
      <c r="Z141" s="52">
        <f>Z36</f>
        <v>3920.2116274169812</v>
      </c>
      <c r="AA141" s="52">
        <f>AA36</f>
        <v>3920.2116274169812</v>
      </c>
      <c r="AB141" s="52">
        <f>AB36</f>
        <v>47042.539529003749</v>
      </c>
      <c r="AC141" s="52">
        <f>AC36</f>
        <v>4772.463195121094</v>
      </c>
      <c r="AD141" s="52">
        <f>AD36</f>
        <v>4772.463195121094</v>
      </c>
      <c r="AE141" s="52">
        <f>AE36</f>
        <v>4772.463195121094</v>
      </c>
      <c r="AF141" s="52">
        <f>AF36</f>
        <v>4772.463195121094</v>
      </c>
      <c r="AG141" s="52">
        <f>AG36</f>
        <v>4772.463195121094</v>
      </c>
      <c r="AH141" s="52">
        <f>AH36</f>
        <v>4772.463195121094</v>
      </c>
      <c r="AI141" s="52">
        <f>AI36</f>
        <v>4772.463195121094</v>
      </c>
      <c r="AJ141" s="52">
        <f>AJ36</f>
        <v>4772.463195121094</v>
      </c>
      <c r="AK141" s="52">
        <f>AK36</f>
        <v>4772.463195121094</v>
      </c>
      <c r="AL141" s="52">
        <f>AL36</f>
        <v>4772.463195121094</v>
      </c>
      <c r="AM141" s="52">
        <f>AM36</f>
        <v>4772.463195121094</v>
      </c>
      <c r="AN141" s="52">
        <f>AN36</f>
        <v>4772.463195121094</v>
      </c>
      <c r="AO141" s="52">
        <f>AO36</f>
        <v>57269.55834145299</v>
      </c>
      <c r="AP141" s="52">
        <f>AP36</f>
        <v>5661.1944345543488</v>
      </c>
      <c r="AQ141" s="52">
        <f>AQ36</f>
        <v>5661.1944345543488</v>
      </c>
      <c r="AR141" s="52">
        <f>AR36</f>
        <v>5661.1944345543488</v>
      </c>
      <c r="AS141" s="52">
        <f>AS36</f>
        <v>5661.1944345543488</v>
      </c>
      <c r="AT141" s="52">
        <f>AT36</f>
        <v>5661.1944345543488</v>
      </c>
      <c r="AU141" s="52">
        <f>AU36</f>
        <v>5661.1944345543488</v>
      </c>
      <c r="AV141" s="52">
        <f>AV36</f>
        <v>5661.1944345543488</v>
      </c>
      <c r="AW141" s="52">
        <f>AW36</f>
        <v>5661.1944345543488</v>
      </c>
      <c r="AX141" s="52">
        <f>AX36</f>
        <v>5661.1944345543488</v>
      </c>
      <c r="AY141" s="52">
        <f>AY36</f>
        <v>5661.1944345543488</v>
      </c>
      <c r="AZ141" s="52">
        <f>AZ36</f>
        <v>5661.1944345543488</v>
      </c>
      <c r="BA141" s="52">
        <f>BA36</f>
        <v>5661.1944345543488</v>
      </c>
      <c r="BB141" s="52">
        <f>BB36</f>
        <v>67934.333214652113</v>
      </c>
      <c r="BC141" s="52">
        <f>BC36</f>
        <v>6587.0759446028387</v>
      </c>
      <c r="BD141" s="52">
        <f>BD36</f>
        <v>6587.0759446028387</v>
      </c>
      <c r="BE141" s="52">
        <f>BE36</f>
        <v>6587.0759446028387</v>
      </c>
      <c r="BF141" s="52">
        <f>BF36</f>
        <v>6587.0759446028387</v>
      </c>
      <c r="BG141" s="52">
        <f>BG36</f>
        <v>6587.0759446028387</v>
      </c>
      <c r="BH141" s="52">
        <f>BH36</f>
        <v>6587.0759446028387</v>
      </c>
      <c r="BI141" s="52">
        <f>BI36</f>
        <v>6587.0759446028387</v>
      </c>
      <c r="BJ141" s="52">
        <f>BJ36</f>
        <v>6587.0759446028387</v>
      </c>
      <c r="BK141" s="52">
        <f>BK36</f>
        <v>6587.0759446028387</v>
      </c>
      <c r="BL141" s="52">
        <f>BL36</f>
        <v>6587.0759446028387</v>
      </c>
      <c r="BM141" s="52">
        <f>BM36</f>
        <v>6587.0759446028387</v>
      </c>
      <c r="BN141" s="52">
        <f>BN36</f>
        <v>6587.0759446028387</v>
      </c>
      <c r="BO141" s="52">
        <f>BO36</f>
        <v>79044.911335234094</v>
      </c>
    </row>
    <row r="142" ht="15" customHeight="1">
      <c r="A142" s="49" t="inlineStr">
        <is>
          <t>Assumed Owner Effective Tax Rate</t>
        </is>
      </c>
      <c r="C142" s="54">
        <f>$O142</f>
        <v>0.14999999999999999</v>
      </c>
      <c r="D142" s="54">
        <f>$O142</f>
        <v>0.14999999999999999</v>
      </c>
      <c r="E142" s="54">
        <f>$O142</f>
        <v>0.14999999999999999</v>
      </c>
      <c r="F142" s="54">
        <f>$O142</f>
        <v>0.14999999999999999</v>
      </c>
      <c r="G142" s="54">
        <f>$O142</f>
        <v>0.14999999999999999</v>
      </c>
      <c r="H142" s="54">
        <f>$O142</f>
        <v>0.14999999999999999</v>
      </c>
      <c r="I142" s="54">
        <f>$O142</f>
        <v>0.14999999999999999</v>
      </c>
      <c r="J142" s="54">
        <f>$O142</f>
        <v>0.14999999999999999</v>
      </c>
      <c r="K142" s="54">
        <f>$O142</f>
        <v>0.14999999999999999</v>
      </c>
      <c r="L142" s="54">
        <f>$O142</f>
        <v>0.14999999999999999</v>
      </c>
      <c r="M142" s="54">
        <f>$O142</f>
        <v>0.14999999999999999</v>
      </c>
      <c r="N142" s="54">
        <f>$O142</f>
        <v>0.14999999999999999</v>
      </c>
      <c r="O142" s="54">
        <f>Assumptions!E110</f>
        <v>0.14999999999999999</v>
      </c>
      <c r="P142" s="54">
        <f>$AB142</f>
        <v>0.14999999999999999</v>
      </c>
      <c r="Q142" s="54">
        <f>$AB142</f>
        <v>0.14999999999999999</v>
      </c>
      <c r="R142" s="54">
        <f>$AB142</f>
        <v>0.14999999999999999</v>
      </c>
      <c r="S142" s="54">
        <f>$AB142</f>
        <v>0.14999999999999999</v>
      </c>
      <c r="T142" s="54">
        <f>$AB142</f>
        <v>0.14999999999999999</v>
      </c>
      <c r="U142" s="54">
        <f>$AB142</f>
        <v>0.14999999999999999</v>
      </c>
      <c r="V142" s="54">
        <f>$AB142</f>
        <v>0.14999999999999999</v>
      </c>
      <c r="W142" s="54">
        <f>$AB142</f>
        <v>0.14999999999999999</v>
      </c>
      <c r="X142" s="54">
        <f>$AB142</f>
        <v>0.14999999999999999</v>
      </c>
      <c r="Y142" s="54">
        <f>$AB142</f>
        <v>0.14999999999999999</v>
      </c>
      <c r="Z142" s="54">
        <f>$AB142</f>
        <v>0.14999999999999999</v>
      </c>
      <c r="AA142" s="54">
        <f>$AB142</f>
        <v>0.14999999999999999</v>
      </c>
      <c r="AB142" s="54">
        <f>Assumptions!E110</f>
        <v>0.14999999999999999</v>
      </c>
      <c r="AC142" s="54">
        <f>$AO142</f>
        <v>0.14999999999999999</v>
      </c>
      <c r="AD142" s="54">
        <f>$AO142</f>
        <v>0.14999999999999999</v>
      </c>
      <c r="AE142" s="54">
        <f>$AO142</f>
        <v>0.14999999999999999</v>
      </c>
      <c r="AF142" s="54">
        <f>$AO142</f>
        <v>0.14999999999999999</v>
      </c>
      <c r="AG142" s="54">
        <f>$AO142</f>
        <v>0.14999999999999999</v>
      </c>
      <c r="AH142" s="54">
        <f>$AO142</f>
        <v>0.14999999999999999</v>
      </c>
      <c r="AI142" s="54">
        <f>$AO142</f>
        <v>0.14999999999999999</v>
      </c>
      <c r="AJ142" s="54">
        <f>$AO142</f>
        <v>0.14999999999999999</v>
      </c>
      <c r="AK142" s="54">
        <f>$AO142</f>
        <v>0.14999999999999999</v>
      </c>
      <c r="AL142" s="54">
        <f>$AO142</f>
        <v>0.14999999999999999</v>
      </c>
      <c r="AM142" s="54">
        <f>$AO142</f>
        <v>0.14999999999999999</v>
      </c>
      <c r="AN142" s="54">
        <f>$AO142</f>
        <v>0.14999999999999999</v>
      </c>
      <c r="AO142" s="54">
        <f>Assumptions!E110</f>
        <v>0.14999999999999999</v>
      </c>
      <c r="AP142" s="54">
        <f>$BB142</f>
        <v>0.14999999999999999</v>
      </c>
      <c r="AQ142" s="54">
        <f>$BB142</f>
        <v>0.14999999999999999</v>
      </c>
      <c r="AR142" s="54">
        <f>$BB142</f>
        <v>0.14999999999999999</v>
      </c>
      <c r="AS142" s="54">
        <f>$BB142</f>
        <v>0.14999999999999999</v>
      </c>
      <c r="AT142" s="54">
        <f>$BB142</f>
        <v>0.14999999999999999</v>
      </c>
      <c r="AU142" s="54">
        <f>$BB142</f>
        <v>0.14999999999999999</v>
      </c>
      <c r="AV142" s="54">
        <f>$BB142</f>
        <v>0.14999999999999999</v>
      </c>
      <c r="AW142" s="54">
        <f>$BB142</f>
        <v>0.14999999999999999</v>
      </c>
      <c r="AX142" s="54">
        <f>$BB142</f>
        <v>0.14999999999999999</v>
      </c>
      <c r="AY142" s="54">
        <f>$BB142</f>
        <v>0.14999999999999999</v>
      </c>
      <c r="AZ142" s="54">
        <f>$BB142</f>
        <v>0.14999999999999999</v>
      </c>
      <c r="BA142" s="54">
        <f>$BB142</f>
        <v>0.14999999999999999</v>
      </c>
      <c r="BB142" s="54">
        <f>Assumptions!E110</f>
        <v>0.14999999999999999</v>
      </c>
      <c r="BC142" s="54">
        <f>$BO142</f>
        <v>0.14999999999999999</v>
      </c>
      <c r="BD142" s="54">
        <f>$BO142</f>
        <v>0.14999999999999999</v>
      </c>
      <c r="BE142" s="54">
        <f>$BO142</f>
        <v>0.14999999999999999</v>
      </c>
      <c r="BF142" s="54">
        <f>$BO142</f>
        <v>0.14999999999999999</v>
      </c>
      <c r="BG142" s="54">
        <f>$BO142</f>
        <v>0.14999999999999999</v>
      </c>
      <c r="BH142" s="54">
        <f>$BO142</f>
        <v>0.14999999999999999</v>
      </c>
      <c r="BI142" s="54">
        <f>$BO142</f>
        <v>0.14999999999999999</v>
      </c>
      <c r="BJ142" s="54">
        <f>$BO142</f>
        <v>0.14999999999999999</v>
      </c>
      <c r="BK142" s="54">
        <f>$BO142</f>
        <v>0.14999999999999999</v>
      </c>
      <c r="BL142" s="54">
        <f>$BO142</f>
        <v>0.14999999999999999</v>
      </c>
      <c r="BM142" s="54">
        <f>$BO142</f>
        <v>0.14999999999999999</v>
      </c>
      <c r="BN142" s="54">
        <f>$BO142</f>
        <v>0.14999999999999999</v>
      </c>
      <c r="BO142" s="54">
        <f>Assumptions!E110</f>
        <v>0.14999999999999999</v>
      </c>
    </row>
    <row r="143" ht="15" customHeight="1">
      <c r="A143" s="49" t="inlineStr">
        <is>
          <t>Owner Tax Distribution</t>
        </is>
      </c>
      <c r="C143" s="50">
        <f>C39</f>
        <v>1142.8050002312496</v>
      </c>
      <c r="D143" s="50">
        <f>D39</f>
        <v>1142.8050002312496</v>
      </c>
      <c r="E143" s="50">
        <f>E39</f>
        <v>1142.8050002312496</v>
      </c>
      <c r="F143" s="50">
        <f>F39</f>
        <v>1142.8050002312496</v>
      </c>
      <c r="G143" s="50">
        <f>G39</f>
        <v>1142.8050002312496</v>
      </c>
      <c r="H143" s="50">
        <f>H39</f>
        <v>1142.8050002312496</v>
      </c>
      <c r="I143" s="50">
        <f>I39</f>
        <v>1142.8050002312496</v>
      </c>
      <c r="J143" s="50">
        <f>J39</f>
        <v>1142.8050002312496</v>
      </c>
      <c r="K143" s="50">
        <f>K39</f>
        <v>1142.8050002312496</v>
      </c>
      <c r="L143" s="50">
        <f>L39</f>
        <v>1142.8050002312496</v>
      </c>
      <c r="M143" s="50">
        <f>M39</f>
        <v>1142.8050002312496</v>
      </c>
      <c r="N143" s="50">
        <f>N39</f>
        <v>1142.8050002312496</v>
      </c>
      <c r="O143" s="50">
        <f>O39</f>
        <v>13713.660002774996</v>
      </c>
      <c r="P143" s="50">
        <f>P39</f>
        <v>588.03174411254679</v>
      </c>
      <c r="Q143" s="50">
        <f>Q39</f>
        <v>588.03174411254679</v>
      </c>
      <c r="R143" s="50">
        <f>R39</f>
        <v>588.03174411254679</v>
      </c>
      <c r="S143" s="50">
        <f>S39</f>
        <v>588.03174411254679</v>
      </c>
      <c r="T143" s="50">
        <f>T39</f>
        <v>588.03174411254679</v>
      </c>
      <c r="U143" s="50">
        <f>U39</f>
        <v>588.03174411254679</v>
      </c>
      <c r="V143" s="50">
        <f>V39</f>
        <v>588.03174411254679</v>
      </c>
      <c r="W143" s="50">
        <f>W39</f>
        <v>588.03174411254679</v>
      </c>
      <c r="X143" s="50">
        <f>X39</f>
        <v>588.03174411254679</v>
      </c>
      <c r="Y143" s="50">
        <f>Y39</f>
        <v>588.03174411254679</v>
      </c>
      <c r="Z143" s="50">
        <f>Z39</f>
        <v>588.03174411254679</v>
      </c>
      <c r="AA143" s="50">
        <f>AA39</f>
        <v>588.03174411254679</v>
      </c>
      <c r="AB143" s="50">
        <f>AB39</f>
        <v>7056.3809293505619</v>
      </c>
      <c r="AC143" s="50">
        <f>AC39</f>
        <v>715.86947926816231</v>
      </c>
      <c r="AD143" s="50">
        <f>AD39</f>
        <v>715.86947926816231</v>
      </c>
      <c r="AE143" s="50">
        <f>AE39</f>
        <v>715.86947926816231</v>
      </c>
      <c r="AF143" s="50">
        <f>AF39</f>
        <v>715.86947926816231</v>
      </c>
      <c r="AG143" s="50">
        <f>AG39</f>
        <v>715.86947926816231</v>
      </c>
      <c r="AH143" s="50">
        <f>AH39</f>
        <v>715.86947926816231</v>
      </c>
      <c r="AI143" s="50">
        <f>AI39</f>
        <v>715.86947926816231</v>
      </c>
      <c r="AJ143" s="50">
        <f>AJ39</f>
        <v>715.86947926816231</v>
      </c>
      <c r="AK143" s="50">
        <f>AK39</f>
        <v>715.86947926816231</v>
      </c>
      <c r="AL143" s="50">
        <f>AL39</f>
        <v>715.86947926816231</v>
      </c>
      <c r="AM143" s="50">
        <f>AM39</f>
        <v>715.86947926816231</v>
      </c>
      <c r="AN143" s="50">
        <f>AN39</f>
        <v>715.86947926816231</v>
      </c>
      <c r="AO143" s="50">
        <f>AO39</f>
        <v>8590.4337512179482</v>
      </c>
      <c r="AP143" s="50">
        <f>AP39</f>
        <v>849.17916518315133</v>
      </c>
      <c r="AQ143" s="50">
        <f>AQ39</f>
        <v>849.17916518315133</v>
      </c>
      <c r="AR143" s="50">
        <f>AR39</f>
        <v>849.17916518315133</v>
      </c>
      <c r="AS143" s="50">
        <f>AS39</f>
        <v>849.17916518315133</v>
      </c>
      <c r="AT143" s="50">
        <f>AT39</f>
        <v>849.17916518315133</v>
      </c>
      <c r="AU143" s="50">
        <f>AU39</f>
        <v>849.17916518315133</v>
      </c>
      <c r="AV143" s="50">
        <f>AV39</f>
        <v>849.17916518315133</v>
      </c>
      <c r="AW143" s="50">
        <f>AW39</f>
        <v>849.17916518315133</v>
      </c>
      <c r="AX143" s="50">
        <f>AX39</f>
        <v>849.17916518315133</v>
      </c>
      <c r="AY143" s="50">
        <f>AY39</f>
        <v>849.17916518315133</v>
      </c>
      <c r="AZ143" s="50">
        <f>AZ39</f>
        <v>849.17916518315133</v>
      </c>
      <c r="BA143" s="50">
        <f>BA39</f>
        <v>849.17916518315133</v>
      </c>
      <c r="BB143" s="50">
        <f>BB39</f>
        <v>10190.149982197816</v>
      </c>
      <c r="BC143" s="50">
        <f>BC39</f>
        <v>988.06139169042615</v>
      </c>
      <c r="BD143" s="50">
        <f>BD39</f>
        <v>988.06139169042615</v>
      </c>
      <c r="BE143" s="50">
        <f>BE39</f>
        <v>988.06139169042615</v>
      </c>
      <c r="BF143" s="50">
        <f>BF39</f>
        <v>988.06139169042615</v>
      </c>
      <c r="BG143" s="50">
        <f>BG39</f>
        <v>988.06139169042615</v>
      </c>
      <c r="BH143" s="50">
        <f>BH39</f>
        <v>988.06139169042615</v>
      </c>
      <c r="BI143" s="50">
        <f>BI39</f>
        <v>988.06139169042615</v>
      </c>
      <c r="BJ143" s="50">
        <f>BJ39</f>
        <v>988.06139169042615</v>
      </c>
      <c r="BK143" s="50">
        <f>BK39</f>
        <v>988.06139169042615</v>
      </c>
      <c r="BL143" s="50">
        <f>BL39</f>
        <v>988.06139169042615</v>
      </c>
      <c r="BM143" s="50">
        <f>BM39</f>
        <v>988.06139169042615</v>
      </c>
      <c r="BN143" s="50">
        <f>BN39</f>
        <v>988.06139169042615</v>
      </c>
      <c r="BO143" s="50">
        <f>BO39</f>
        <v>11856.736700285113</v>
      </c>
    </row>
    <row r="144" ht="15" customHeight="1">
      <c r="A144" s="60" t="inlineStr">
        <is>
          <t>Net Income Retained in Business</t>
        </is>
      </c>
      <c r="B144" s="53" t="n"/>
      <c r="C144" s="52">
        <f>C40</f>
        <v>6475.8950013104104</v>
      </c>
      <c r="D144" s="52">
        <f>D40</f>
        <v>6475.8950013104104</v>
      </c>
      <c r="E144" s="52">
        <f>E40</f>
        <v>6475.8950013104104</v>
      </c>
      <c r="F144" s="52">
        <f>F40</f>
        <v>6475.8950013104104</v>
      </c>
      <c r="G144" s="52">
        <f>G40</f>
        <v>6475.8950013104104</v>
      </c>
      <c r="H144" s="52">
        <f>H40</f>
        <v>6475.8950013104104</v>
      </c>
      <c r="I144" s="52">
        <f>I40</f>
        <v>6475.8950013104104</v>
      </c>
      <c r="J144" s="52">
        <f>J40</f>
        <v>6475.8950013104104</v>
      </c>
      <c r="K144" s="52">
        <f>K40</f>
        <v>6475.8950013104104</v>
      </c>
      <c r="L144" s="52">
        <f>L40</f>
        <v>6475.8950013104104</v>
      </c>
      <c r="M144" s="52">
        <f>M40</f>
        <v>6475.8950013104104</v>
      </c>
      <c r="N144" s="52">
        <f>N40</f>
        <v>6475.8950013104104</v>
      </c>
      <c r="O144" s="52">
        <f>O40</f>
        <v>77710.740015724979</v>
      </c>
      <c r="P144" s="52">
        <f>P40</f>
        <v>3332.1798833044345</v>
      </c>
      <c r="Q144" s="52">
        <f>Q40</f>
        <v>3332.1798833044345</v>
      </c>
      <c r="R144" s="52">
        <f>R40</f>
        <v>3332.1798833044345</v>
      </c>
      <c r="S144" s="52">
        <f>S40</f>
        <v>3332.1798833044345</v>
      </c>
      <c r="T144" s="52">
        <f>T40</f>
        <v>3332.1798833044345</v>
      </c>
      <c r="U144" s="52">
        <f>U40</f>
        <v>3332.1798833044345</v>
      </c>
      <c r="V144" s="52">
        <f>V40</f>
        <v>3332.1798833044345</v>
      </c>
      <c r="W144" s="52">
        <f>W40</f>
        <v>3332.1798833044345</v>
      </c>
      <c r="X144" s="52">
        <f>X40</f>
        <v>3332.1798833044345</v>
      </c>
      <c r="Y144" s="52">
        <f>Y40</f>
        <v>3332.1798833044345</v>
      </c>
      <c r="Z144" s="52">
        <f>Z40</f>
        <v>3332.1798833044345</v>
      </c>
      <c r="AA144" s="52">
        <f>AA40</f>
        <v>3332.1798833044345</v>
      </c>
      <c r="AB144" s="52">
        <f>AB40</f>
        <v>39986.158599653187</v>
      </c>
      <c r="AC144" s="52">
        <f>AC40</f>
        <v>4056.5937158529318</v>
      </c>
      <c r="AD144" s="52">
        <f>AD40</f>
        <v>4056.5937158529318</v>
      </c>
      <c r="AE144" s="52">
        <f>AE40</f>
        <v>4056.5937158529318</v>
      </c>
      <c r="AF144" s="52">
        <f>AF40</f>
        <v>4056.5937158529318</v>
      </c>
      <c r="AG144" s="52">
        <f>AG40</f>
        <v>4056.5937158529318</v>
      </c>
      <c r="AH144" s="52">
        <f>AH40</f>
        <v>4056.5937158529318</v>
      </c>
      <c r="AI144" s="52">
        <f>AI40</f>
        <v>4056.5937158529318</v>
      </c>
      <c r="AJ144" s="52">
        <f>AJ40</f>
        <v>4056.5937158529318</v>
      </c>
      <c r="AK144" s="52">
        <f>AK40</f>
        <v>4056.5937158529318</v>
      </c>
      <c r="AL144" s="52">
        <f>AL40</f>
        <v>4056.5937158529318</v>
      </c>
      <c r="AM144" s="52">
        <f>AM40</f>
        <v>4056.5937158529318</v>
      </c>
      <c r="AN144" s="52">
        <f>AN40</f>
        <v>4056.5937158529318</v>
      </c>
      <c r="AO144" s="52">
        <f>AO40</f>
        <v>48679.124590235042</v>
      </c>
      <c r="AP144" s="52">
        <f>AP40</f>
        <v>4812.0152693711971</v>
      </c>
      <c r="AQ144" s="52">
        <f>AQ40</f>
        <v>4812.0152693711971</v>
      </c>
      <c r="AR144" s="52">
        <f>AR40</f>
        <v>4812.0152693711971</v>
      </c>
      <c r="AS144" s="52">
        <f>AS40</f>
        <v>4812.0152693711971</v>
      </c>
      <c r="AT144" s="52">
        <f>AT40</f>
        <v>4812.0152693711971</v>
      </c>
      <c r="AU144" s="52">
        <f>AU40</f>
        <v>4812.0152693711971</v>
      </c>
      <c r="AV144" s="52">
        <f>AV40</f>
        <v>4812.0152693711971</v>
      </c>
      <c r="AW144" s="52">
        <f>AW40</f>
        <v>4812.0152693711971</v>
      </c>
      <c r="AX144" s="52">
        <f>AX40</f>
        <v>4812.0152693711971</v>
      </c>
      <c r="AY144" s="52">
        <f>AY40</f>
        <v>4812.0152693711971</v>
      </c>
      <c r="AZ144" s="52">
        <f>AZ40</f>
        <v>4812.0152693711971</v>
      </c>
      <c r="BA144" s="52">
        <f>BA40</f>
        <v>4812.0152693711971</v>
      </c>
      <c r="BB144" s="52">
        <f>BB40</f>
        <v>57744.183232454299</v>
      </c>
      <c r="BC144" s="52">
        <f>BC40</f>
        <v>5599.0145529124129</v>
      </c>
      <c r="BD144" s="52">
        <f>BD40</f>
        <v>5599.0145529124129</v>
      </c>
      <c r="BE144" s="52">
        <f>BE40</f>
        <v>5599.0145529124129</v>
      </c>
      <c r="BF144" s="52">
        <f>BF40</f>
        <v>5599.0145529124129</v>
      </c>
      <c r="BG144" s="52">
        <f>BG40</f>
        <v>5599.0145529124129</v>
      </c>
      <c r="BH144" s="52">
        <f>BH40</f>
        <v>5599.0145529124129</v>
      </c>
      <c r="BI144" s="52">
        <f>BI40</f>
        <v>5599.0145529124129</v>
      </c>
      <c r="BJ144" s="52">
        <f>BJ40</f>
        <v>5599.0145529124129</v>
      </c>
      <c r="BK144" s="52">
        <f>BK40</f>
        <v>5599.0145529124129</v>
      </c>
      <c r="BL144" s="52">
        <f>BL40</f>
        <v>5599.0145529124129</v>
      </c>
      <c r="BM144" s="52">
        <f>BM40</f>
        <v>5599.0145529124129</v>
      </c>
      <c r="BN144" s="52">
        <f>BN40</f>
        <v>5599.0145529124129</v>
      </c>
      <c r="BO144" s="52">
        <f>BO40</f>
        <v>67188.174634948984</v>
      </c>
    </row>
    <row r="145"/>
    <row r="146"/>
    <row r="147" ht="15" customHeight="1">
      <c r="A147" s="46" t="inlineStr">
        <is>
          <t>DISCOUNTED CASH FLOW (DCF) VALUATION</t>
        </is>
      </c>
      <c r="B147" s="46" t="n"/>
      <c r="C147" s="46" t="n"/>
      <c r="D147" s="46" t="n"/>
      <c r="E147" s="46" t="n"/>
      <c r="F147" s="46" t="n"/>
      <c r="G147" s="46" t="n"/>
    </row>
    <row r="148" ht="15" customHeight="1">
      <c r="A148" s="47" t="n"/>
      <c r="C148" s="48" t="inlineStr">
        <is>
          <t>M1</t>
        </is>
      </c>
      <c r="D148" s="48" t="inlineStr">
        <is>
          <t>M2</t>
        </is>
      </c>
      <c r="E148" s="48" t="inlineStr">
        <is>
          <t>M3</t>
        </is>
      </c>
      <c r="F148" s="48" t="inlineStr">
        <is>
          <t>M4</t>
        </is>
      </c>
      <c r="G148" s="48" t="inlineStr">
        <is>
          <t>M5</t>
        </is>
      </c>
      <c r="H148" s="48" t="inlineStr">
        <is>
          <t>M6</t>
        </is>
      </c>
      <c r="I148" s="48" t="inlineStr">
        <is>
          <t>M7</t>
        </is>
      </c>
      <c r="J148" s="48" t="inlineStr">
        <is>
          <t>M8</t>
        </is>
      </c>
      <c r="K148" s="48" t="inlineStr">
        <is>
          <t>M9</t>
        </is>
      </c>
      <c r="L148" s="48" t="inlineStr">
        <is>
          <t>M10</t>
        </is>
      </c>
      <c r="M148" s="48" t="inlineStr">
        <is>
          <t>M11</t>
        </is>
      </c>
      <c r="N148" s="48" t="inlineStr">
        <is>
          <t>M12</t>
        </is>
      </c>
      <c r="O148" s="48" t="inlineStr">
        <is>
          <t>Year 1</t>
        </is>
      </c>
      <c r="P148" s="48" t="inlineStr">
        <is>
          <t>M1</t>
        </is>
      </c>
      <c r="Q148" s="48" t="inlineStr">
        <is>
          <t>M2</t>
        </is>
      </c>
      <c r="R148" s="48" t="inlineStr">
        <is>
          <t>M3</t>
        </is>
      </c>
      <c r="S148" s="48" t="inlineStr">
        <is>
          <t>M4</t>
        </is>
      </c>
      <c r="T148" s="48" t="inlineStr">
        <is>
          <t>M5</t>
        </is>
      </c>
      <c r="U148" s="48" t="inlineStr">
        <is>
          <t>M6</t>
        </is>
      </c>
      <c r="V148" s="48" t="inlineStr">
        <is>
          <t>M7</t>
        </is>
      </c>
      <c r="W148" s="48" t="inlineStr">
        <is>
          <t>M8</t>
        </is>
      </c>
      <c r="X148" s="48" t="inlineStr">
        <is>
          <t>M9</t>
        </is>
      </c>
      <c r="Y148" s="48" t="inlineStr">
        <is>
          <t>M10</t>
        </is>
      </c>
      <c r="Z148" s="48" t="inlineStr">
        <is>
          <t>M11</t>
        </is>
      </c>
      <c r="AA148" s="48" t="inlineStr">
        <is>
          <t>M12</t>
        </is>
      </c>
      <c r="AB148" s="48" t="inlineStr">
        <is>
          <t>Year 2</t>
        </is>
      </c>
      <c r="AC148" s="48" t="inlineStr">
        <is>
          <t>M1</t>
        </is>
      </c>
      <c r="AD148" s="48" t="inlineStr">
        <is>
          <t>M2</t>
        </is>
      </c>
      <c r="AE148" s="48" t="inlineStr">
        <is>
          <t>M3</t>
        </is>
      </c>
      <c r="AF148" s="48" t="inlineStr">
        <is>
          <t>M4</t>
        </is>
      </c>
      <c r="AG148" s="48" t="inlineStr">
        <is>
          <t>M5</t>
        </is>
      </c>
      <c r="AH148" s="48" t="inlineStr">
        <is>
          <t>M6</t>
        </is>
      </c>
      <c r="AI148" s="48" t="inlineStr">
        <is>
          <t>M7</t>
        </is>
      </c>
      <c r="AJ148" s="48" t="inlineStr">
        <is>
          <t>M8</t>
        </is>
      </c>
      <c r="AK148" s="48" t="inlineStr">
        <is>
          <t>M9</t>
        </is>
      </c>
      <c r="AL148" s="48" t="inlineStr">
        <is>
          <t>M10</t>
        </is>
      </c>
      <c r="AM148" s="48" t="inlineStr">
        <is>
          <t>M11</t>
        </is>
      </c>
      <c r="AN148" s="48" t="inlineStr">
        <is>
          <t>M12</t>
        </is>
      </c>
      <c r="AO148" s="48" t="inlineStr">
        <is>
          <t>Year 3</t>
        </is>
      </c>
      <c r="AP148" s="48" t="inlineStr">
        <is>
          <t>M1</t>
        </is>
      </c>
      <c r="AQ148" s="48" t="inlineStr">
        <is>
          <t>M2</t>
        </is>
      </c>
      <c r="AR148" s="48" t="inlineStr">
        <is>
          <t>M3</t>
        </is>
      </c>
      <c r="AS148" s="48" t="inlineStr">
        <is>
          <t>M4</t>
        </is>
      </c>
      <c r="AT148" s="48" t="inlineStr">
        <is>
          <t>M5</t>
        </is>
      </c>
      <c r="AU148" s="48" t="inlineStr">
        <is>
          <t>M6</t>
        </is>
      </c>
      <c r="AV148" s="48" t="inlineStr">
        <is>
          <t>M7</t>
        </is>
      </c>
      <c r="AW148" s="48" t="inlineStr">
        <is>
          <t>M8</t>
        </is>
      </c>
      <c r="AX148" s="48" t="inlineStr">
        <is>
          <t>M9</t>
        </is>
      </c>
      <c r="AY148" s="48" t="inlineStr">
        <is>
          <t>M10</t>
        </is>
      </c>
      <c r="AZ148" s="48" t="inlineStr">
        <is>
          <t>M11</t>
        </is>
      </c>
      <c r="BA148" s="48" t="inlineStr">
        <is>
          <t>M12</t>
        </is>
      </c>
      <c r="BB148" s="48" t="inlineStr">
        <is>
          <t>Year 4</t>
        </is>
      </c>
      <c r="BC148" s="48" t="inlineStr">
        <is>
          <t>M1</t>
        </is>
      </c>
      <c r="BD148" s="48" t="inlineStr">
        <is>
          <t>M2</t>
        </is>
      </c>
      <c r="BE148" s="48" t="inlineStr">
        <is>
          <t>M3</t>
        </is>
      </c>
      <c r="BF148" s="48" t="inlineStr">
        <is>
          <t>M4</t>
        </is>
      </c>
      <c r="BG148" s="48" t="inlineStr">
        <is>
          <t>M5</t>
        </is>
      </c>
      <c r="BH148" s="48" t="inlineStr">
        <is>
          <t>M6</t>
        </is>
      </c>
      <c r="BI148" s="48" t="inlineStr">
        <is>
          <t>M7</t>
        </is>
      </c>
      <c r="BJ148" s="48" t="inlineStr">
        <is>
          <t>M8</t>
        </is>
      </c>
      <c r="BK148" s="48" t="inlineStr">
        <is>
          <t>M9</t>
        </is>
      </c>
      <c r="BL148" s="48" t="inlineStr">
        <is>
          <t>M10</t>
        </is>
      </c>
      <c r="BM148" s="48" t="inlineStr">
        <is>
          <t>M11</t>
        </is>
      </c>
      <c r="BN148" s="48" t="inlineStr">
        <is>
          <t>M12</t>
        </is>
      </c>
      <c r="BO148" s="48" t="inlineStr">
        <is>
          <t>Year 5</t>
        </is>
      </c>
    </row>
    <row r="149" ht="15" customHeight="1">
      <c r="A149" s="49" t="inlineStr">
        <is>
          <t>EBIT</t>
        </is>
      </c>
      <c r="C149" s="50">
        <f>C28</f>
        <v>12131.19762654166</v>
      </c>
      <c r="D149" s="50">
        <f>D28</f>
        <v>12131.19762654166</v>
      </c>
      <c r="E149" s="50">
        <f>E28</f>
        <v>12131.19762654166</v>
      </c>
      <c r="F149" s="50">
        <f>F28</f>
        <v>12131.19762654166</v>
      </c>
      <c r="G149" s="50">
        <f>G28</f>
        <v>12131.19762654166</v>
      </c>
      <c r="H149" s="50">
        <f>H28</f>
        <v>12131.19762654166</v>
      </c>
      <c r="I149" s="50">
        <f>I28</f>
        <v>12131.19762654166</v>
      </c>
      <c r="J149" s="50">
        <f>J28</f>
        <v>12131.19762654166</v>
      </c>
      <c r="K149" s="50">
        <f>K28</f>
        <v>12131.19762654166</v>
      </c>
      <c r="L149" s="50">
        <f>L28</f>
        <v>12131.19762654166</v>
      </c>
      <c r="M149" s="50">
        <f>M28</f>
        <v>12131.19762654166</v>
      </c>
      <c r="N149" s="50">
        <f>N28</f>
        <v>12131.19762654166</v>
      </c>
      <c r="O149" s="50">
        <f>O28</f>
        <v>145574.37151849997</v>
      </c>
      <c r="P149" s="50">
        <f>P28</f>
        <v>8142.7083956666538</v>
      </c>
      <c r="Q149" s="50">
        <f>Q28</f>
        <v>8142.7083956666538</v>
      </c>
      <c r="R149" s="50">
        <f>R28</f>
        <v>8142.7083956666538</v>
      </c>
      <c r="S149" s="50">
        <f>S28</f>
        <v>8142.7083956666538</v>
      </c>
      <c r="T149" s="50">
        <f>T28</f>
        <v>8142.7083956666538</v>
      </c>
      <c r="U149" s="50">
        <f>U28</f>
        <v>8142.7083956666538</v>
      </c>
      <c r="V149" s="50">
        <f>V28</f>
        <v>8142.7083956666538</v>
      </c>
      <c r="W149" s="50">
        <f>W28</f>
        <v>8142.7083956666538</v>
      </c>
      <c r="X149" s="50">
        <f>X28</f>
        <v>8142.7083956666538</v>
      </c>
      <c r="Y149" s="50">
        <f>Y28</f>
        <v>8142.7083956666538</v>
      </c>
      <c r="Z149" s="50">
        <f>Z28</f>
        <v>8142.7083956666538</v>
      </c>
      <c r="AA149" s="50">
        <f>AA28</f>
        <v>8142.7083956666538</v>
      </c>
      <c r="AB149" s="50">
        <f>AB28</f>
        <v>97712.500747999817</v>
      </c>
      <c r="AC149" s="50">
        <f>AC28</f>
        <v>8677.4090252291571</v>
      </c>
      <c r="AD149" s="50">
        <f>AD28</f>
        <v>8677.4090252291571</v>
      </c>
      <c r="AE149" s="50">
        <f>AE28</f>
        <v>8677.4090252291571</v>
      </c>
      <c r="AF149" s="50">
        <f>AF28</f>
        <v>8677.4090252291571</v>
      </c>
      <c r="AG149" s="50">
        <f>AG28</f>
        <v>8677.4090252291571</v>
      </c>
      <c r="AH149" s="50">
        <f>AH28</f>
        <v>8677.4090252291571</v>
      </c>
      <c r="AI149" s="50">
        <f>AI28</f>
        <v>8677.4090252291571</v>
      </c>
      <c r="AJ149" s="50">
        <f>AJ28</f>
        <v>8677.4090252291571</v>
      </c>
      <c r="AK149" s="50">
        <f>AK28</f>
        <v>8677.4090252291571</v>
      </c>
      <c r="AL149" s="50">
        <f>AL28</f>
        <v>8677.4090252291571</v>
      </c>
      <c r="AM149" s="50">
        <f>AM28</f>
        <v>8677.4090252291571</v>
      </c>
      <c r="AN149" s="50">
        <f>AN28</f>
        <v>8677.4090252291571</v>
      </c>
      <c r="AO149" s="50">
        <f>AO28</f>
        <v>104128.90830274974</v>
      </c>
      <c r="AP149" s="50">
        <f>AP28</f>
        <v>9218.4219873973489</v>
      </c>
      <c r="AQ149" s="50">
        <f>AQ28</f>
        <v>9218.4219873973489</v>
      </c>
      <c r="AR149" s="50">
        <f>AR28</f>
        <v>9218.4219873973489</v>
      </c>
      <c r="AS149" s="50">
        <f>AS28</f>
        <v>9218.4219873973489</v>
      </c>
      <c r="AT149" s="50">
        <f>AT28</f>
        <v>9218.4219873973489</v>
      </c>
      <c r="AU149" s="50">
        <f>AU28</f>
        <v>9218.4219873973489</v>
      </c>
      <c r="AV149" s="50">
        <f>AV28</f>
        <v>9218.4219873973489</v>
      </c>
      <c r="AW149" s="50">
        <f>AW28</f>
        <v>9218.4219873973489</v>
      </c>
      <c r="AX149" s="50">
        <f>AX28</f>
        <v>9218.4219873973489</v>
      </c>
      <c r="AY149" s="50">
        <f>AY28</f>
        <v>9218.4219873973489</v>
      </c>
      <c r="AZ149" s="50">
        <f>AZ28</f>
        <v>9218.4219873973489</v>
      </c>
      <c r="BA149" s="50">
        <f>BA28</f>
        <v>9218.4219873973489</v>
      </c>
      <c r="BB149" s="50">
        <f>BB28</f>
        <v>110621.06384876813</v>
      </c>
      <c r="BC149" s="50">
        <f>BC28</f>
        <v>9763.5519838405962</v>
      </c>
      <c r="BD149" s="50">
        <f>BD28</f>
        <v>9763.5519838405962</v>
      </c>
      <c r="BE149" s="50">
        <f>BE28</f>
        <v>9763.5519838405962</v>
      </c>
      <c r="BF149" s="50">
        <f>BF28</f>
        <v>9763.5519838405962</v>
      </c>
      <c r="BG149" s="50">
        <f>BG28</f>
        <v>9763.5519838405962</v>
      </c>
      <c r="BH149" s="50">
        <f>BH28</f>
        <v>9763.5519838405962</v>
      </c>
      <c r="BI149" s="50">
        <f>BI28</f>
        <v>9763.5519838405962</v>
      </c>
      <c r="BJ149" s="50">
        <f>BJ28</f>
        <v>9763.5519838405962</v>
      </c>
      <c r="BK149" s="50">
        <f>BK28</f>
        <v>9763.5519838405962</v>
      </c>
      <c r="BL149" s="50">
        <f>BL28</f>
        <v>9763.5519838405962</v>
      </c>
      <c r="BM149" s="50">
        <f>BM28</f>
        <v>9763.5519838405962</v>
      </c>
      <c r="BN149" s="50">
        <f>BN28</f>
        <v>9763.5519838405962</v>
      </c>
      <c r="BO149" s="50">
        <f>BO28</f>
        <v>117162.62380608718</v>
      </c>
    </row>
    <row r="150" ht="15" customHeight="1">
      <c r="A150" s="49" t="inlineStr">
        <is>
          <t>Less: Unlevered Cash Taxes (at Assumed Owner Effective Rate)</t>
        </is>
      </c>
      <c r="C150" s="50">
        <f>-C28*Assumptions!E110</f>
        <v>-1819.679643981249</v>
      </c>
      <c r="D150" s="50">
        <f>-D28*Assumptions!E110</f>
        <v>-1819.679643981249</v>
      </c>
      <c r="E150" s="50">
        <f>-E28*Assumptions!E110</f>
        <v>-1819.679643981249</v>
      </c>
      <c r="F150" s="50">
        <f>-F28*Assumptions!E110</f>
        <v>-1819.679643981249</v>
      </c>
      <c r="G150" s="50">
        <f>-G28*Assumptions!E110</f>
        <v>-1819.679643981249</v>
      </c>
      <c r="H150" s="50">
        <f>-H28*Assumptions!E110</f>
        <v>-1819.679643981249</v>
      </c>
      <c r="I150" s="50">
        <f>-I28*Assumptions!E110</f>
        <v>-1819.679643981249</v>
      </c>
      <c r="J150" s="50">
        <f>-J28*Assumptions!E110</f>
        <v>-1819.679643981249</v>
      </c>
      <c r="K150" s="50">
        <f>-K28*Assumptions!E110</f>
        <v>-1819.679643981249</v>
      </c>
      <c r="L150" s="50">
        <f>-L28*Assumptions!E110</f>
        <v>-1819.679643981249</v>
      </c>
      <c r="M150" s="50">
        <f>-M28*Assumptions!E110</f>
        <v>-1819.679643981249</v>
      </c>
      <c r="N150" s="50">
        <f>-N28*Assumptions!E110</f>
        <v>-1819.679643981249</v>
      </c>
      <c r="O150" s="50">
        <f>-O28*Assumptions!E110</f>
        <v>-21836.155727774996</v>
      </c>
      <c r="P150" s="50">
        <f>-P28*Assumptions!E110</f>
        <v>-1221.406259349998</v>
      </c>
      <c r="Q150" s="50">
        <f>-Q28*Assumptions!E110</f>
        <v>-1221.406259349998</v>
      </c>
      <c r="R150" s="50">
        <f>-R28*Assumptions!E110</f>
        <v>-1221.406259349998</v>
      </c>
      <c r="S150" s="50">
        <f>-S28*Assumptions!E110</f>
        <v>-1221.406259349998</v>
      </c>
      <c r="T150" s="50">
        <f>-T28*Assumptions!E110</f>
        <v>-1221.406259349998</v>
      </c>
      <c r="U150" s="50">
        <f>-U28*Assumptions!E110</f>
        <v>-1221.406259349998</v>
      </c>
      <c r="V150" s="50">
        <f>-V28*Assumptions!E110</f>
        <v>-1221.406259349998</v>
      </c>
      <c r="W150" s="50">
        <f>-W28*Assumptions!E110</f>
        <v>-1221.406259349998</v>
      </c>
      <c r="X150" s="50">
        <f>-X28*Assumptions!E110</f>
        <v>-1221.406259349998</v>
      </c>
      <c r="Y150" s="50">
        <f>-Y28*Assumptions!E110</f>
        <v>-1221.406259349998</v>
      </c>
      <c r="Z150" s="50">
        <f>-Z28*Assumptions!E110</f>
        <v>-1221.406259349998</v>
      </c>
      <c r="AA150" s="50">
        <f>-AA28*Assumptions!E110</f>
        <v>-1221.406259349998</v>
      </c>
      <c r="AB150" s="50">
        <f>-AB28*Assumptions!E110</f>
        <v>-14656.875112199972</v>
      </c>
      <c r="AC150" s="50">
        <f>-AC28*Assumptions!E110</f>
        <v>-1301.6113537843735</v>
      </c>
      <c r="AD150" s="50">
        <f>-AD28*Assumptions!E110</f>
        <v>-1301.6113537843735</v>
      </c>
      <c r="AE150" s="50">
        <f>-AE28*Assumptions!E110</f>
        <v>-1301.6113537843735</v>
      </c>
      <c r="AF150" s="50">
        <f>-AF28*Assumptions!E110</f>
        <v>-1301.6113537843735</v>
      </c>
      <c r="AG150" s="50">
        <f>-AG28*Assumptions!E110</f>
        <v>-1301.6113537843735</v>
      </c>
      <c r="AH150" s="50">
        <f>-AH28*Assumptions!E110</f>
        <v>-1301.6113537843735</v>
      </c>
      <c r="AI150" s="50">
        <f>-AI28*Assumptions!E110</f>
        <v>-1301.6113537843735</v>
      </c>
      <c r="AJ150" s="50">
        <f>-AJ28*Assumptions!E110</f>
        <v>-1301.6113537843735</v>
      </c>
      <c r="AK150" s="50">
        <f>-AK28*Assumptions!E110</f>
        <v>-1301.6113537843735</v>
      </c>
      <c r="AL150" s="50">
        <f>-AL28*Assumptions!E110</f>
        <v>-1301.6113537843735</v>
      </c>
      <c r="AM150" s="50">
        <f>-AM28*Assumptions!E110</f>
        <v>-1301.6113537843735</v>
      </c>
      <c r="AN150" s="50">
        <f>-AN28*Assumptions!E110</f>
        <v>-1301.6113537843735</v>
      </c>
      <c r="AO150" s="50">
        <f>-AO28*Assumptions!E110</f>
        <v>-15619.33624541246</v>
      </c>
      <c r="AP150" s="50">
        <f>-AP28*Assumptions!E110</f>
        <v>-1382.7632981096024</v>
      </c>
      <c r="AQ150" s="50">
        <f>-AQ28*Assumptions!E110</f>
        <v>-1382.7632981096024</v>
      </c>
      <c r="AR150" s="50">
        <f>-AR28*Assumptions!E110</f>
        <v>-1382.7632981096024</v>
      </c>
      <c r="AS150" s="50">
        <f>-AS28*Assumptions!E110</f>
        <v>-1382.7632981096024</v>
      </c>
      <c r="AT150" s="50">
        <f>-AT28*Assumptions!E110</f>
        <v>-1382.7632981096024</v>
      </c>
      <c r="AU150" s="50">
        <f>-AU28*Assumptions!E110</f>
        <v>-1382.7632981096024</v>
      </c>
      <c r="AV150" s="50">
        <f>-AV28*Assumptions!E110</f>
        <v>-1382.7632981096024</v>
      </c>
      <c r="AW150" s="50">
        <f>-AW28*Assumptions!E110</f>
        <v>-1382.7632981096024</v>
      </c>
      <c r="AX150" s="50">
        <f>-AX28*Assumptions!E110</f>
        <v>-1382.7632981096024</v>
      </c>
      <c r="AY150" s="50">
        <f>-AY28*Assumptions!E110</f>
        <v>-1382.7632981096024</v>
      </c>
      <c r="AZ150" s="50">
        <f>-AZ28*Assumptions!E110</f>
        <v>-1382.7632981096024</v>
      </c>
      <c r="BA150" s="50">
        <f>-BA28*Assumptions!E110</f>
        <v>-1382.7632981096024</v>
      </c>
      <c r="BB150" s="50">
        <f>-BB28*Assumptions!E110</f>
        <v>-16593.159577315218</v>
      </c>
      <c r="BC150" s="50">
        <f>-BC28*Assumptions!E110</f>
        <v>-1464.5327975760895</v>
      </c>
      <c r="BD150" s="50">
        <f>-BD28*Assumptions!E110</f>
        <v>-1464.5327975760895</v>
      </c>
      <c r="BE150" s="50">
        <f>-BE28*Assumptions!E110</f>
        <v>-1464.5327975760895</v>
      </c>
      <c r="BF150" s="50">
        <f>-BF28*Assumptions!E110</f>
        <v>-1464.5327975760895</v>
      </c>
      <c r="BG150" s="50">
        <f>-BG28*Assumptions!E110</f>
        <v>-1464.5327975760895</v>
      </c>
      <c r="BH150" s="50">
        <f>-BH28*Assumptions!E110</f>
        <v>-1464.5327975760895</v>
      </c>
      <c r="BI150" s="50">
        <f>-BI28*Assumptions!E110</f>
        <v>-1464.5327975760895</v>
      </c>
      <c r="BJ150" s="50">
        <f>-BJ28*Assumptions!E110</f>
        <v>-1464.5327975760895</v>
      </c>
      <c r="BK150" s="50">
        <f>-BK28*Assumptions!E110</f>
        <v>-1464.5327975760895</v>
      </c>
      <c r="BL150" s="50">
        <f>-BL28*Assumptions!E110</f>
        <v>-1464.5327975760895</v>
      </c>
      <c r="BM150" s="50">
        <f>-BM28*Assumptions!E110</f>
        <v>-1464.5327975760895</v>
      </c>
      <c r="BN150" s="50">
        <f>-BN28*Assumptions!E110</f>
        <v>-1464.5327975760895</v>
      </c>
      <c r="BO150" s="50">
        <f>-BO28*Assumptions!E110</f>
        <v>-17574.393570913078</v>
      </c>
    </row>
    <row r="151" ht="15" customHeight="1">
      <c r="A151" s="51" t="inlineStr">
        <is>
          <t>NOPAT</t>
        </is>
      </c>
      <c r="B151" s="53" t="n"/>
      <c r="C151" s="52">
        <f>C149+C150</f>
        <v>10311.51798256041</v>
      </c>
      <c r="D151" s="52">
        <f>D149+D150</f>
        <v>10311.51798256041</v>
      </c>
      <c r="E151" s="52">
        <f>E149+E150</f>
        <v>10311.51798256041</v>
      </c>
      <c r="F151" s="52">
        <f>F149+F150</f>
        <v>10311.51798256041</v>
      </c>
      <c r="G151" s="52">
        <f>G149+G150</f>
        <v>10311.51798256041</v>
      </c>
      <c r="H151" s="52">
        <f>H149+H150</f>
        <v>10311.51798256041</v>
      </c>
      <c r="I151" s="52">
        <f>I149+I150</f>
        <v>10311.51798256041</v>
      </c>
      <c r="J151" s="52">
        <f>J149+J150</f>
        <v>10311.51798256041</v>
      </c>
      <c r="K151" s="52">
        <f>K149+K150</f>
        <v>10311.51798256041</v>
      </c>
      <c r="L151" s="52">
        <f>L149+L150</f>
        <v>10311.51798256041</v>
      </c>
      <c r="M151" s="52">
        <f>M149+M150</f>
        <v>10311.51798256041</v>
      </c>
      <c r="N151" s="52">
        <f>N149+N150</f>
        <v>10311.51798256041</v>
      </c>
      <c r="O151" s="52">
        <f>O149+O150</f>
        <v>123738.21579072498</v>
      </c>
      <c r="P151" s="52">
        <f>P149+P150</f>
        <v>6921.3021363166554</v>
      </c>
      <c r="Q151" s="52">
        <f>Q149+Q150</f>
        <v>6921.3021363166554</v>
      </c>
      <c r="R151" s="52">
        <f>R149+R150</f>
        <v>6921.3021363166554</v>
      </c>
      <c r="S151" s="52">
        <f>S149+S150</f>
        <v>6921.3021363166554</v>
      </c>
      <c r="T151" s="52">
        <f>T149+T150</f>
        <v>6921.3021363166554</v>
      </c>
      <c r="U151" s="52">
        <f>U149+U150</f>
        <v>6921.3021363166554</v>
      </c>
      <c r="V151" s="52">
        <f>V149+V150</f>
        <v>6921.3021363166554</v>
      </c>
      <c r="W151" s="52">
        <f>W149+W150</f>
        <v>6921.3021363166554</v>
      </c>
      <c r="X151" s="52">
        <f>X149+X150</f>
        <v>6921.3021363166554</v>
      </c>
      <c r="Y151" s="52">
        <f>Y149+Y150</f>
        <v>6921.3021363166554</v>
      </c>
      <c r="Z151" s="52">
        <f>Z149+Z150</f>
        <v>6921.3021363166554</v>
      </c>
      <c r="AA151" s="52">
        <f>AA149+AA150</f>
        <v>6921.3021363166554</v>
      </c>
      <c r="AB151" s="52">
        <f>AB149+AB150</f>
        <v>83055.62563579985</v>
      </c>
      <c r="AC151" s="52">
        <f>AC149+AC150</f>
        <v>7375.7976714447832</v>
      </c>
      <c r="AD151" s="52">
        <f>AD149+AD150</f>
        <v>7375.7976714447832</v>
      </c>
      <c r="AE151" s="52">
        <f>AE149+AE150</f>
        <v>7375.7976714447832</v>
      </c>
      <c r="AF151" s="52">
        <f>AF149+AF150</f>
        <v>7375.7976714447832</v>
      </c>
      <c r="AG151" s="52">
        <f>AG149+AG150</f>
        <v>7375.7976714447832</v>
      </c>
      <c r="AH151" s="52">
        <f>AH149+AH150</f>
        <v>7375.7976714447832</v>
      </c>
      <c r="AI151" s="52">
        <f>AI149+AI150</f>
        <v>7375.7976714447832</v>
      </c>
      <c r="AJ151" s="52">
        <f>AJ149+AJ150</f>
        <v>7375.7976714447832</v>
      </c>
      <c r="AK151" s="52">
        <f>AK149+AK150</f>
        <v>7375.7976714447832</v>
      </c>
      <c r="AL151" s="52">
        <f>AL149+AL150</f>
        <v>7375.7976714447832</v>
      </c>
      <c r="AM151" s="52">
        <f>AM149+AM150</f>
        <v>7375.7976714447832</v>
      </c>
      <c r="AN151" s="52">
        <f>AN149+AN150</f>
        <v>7375.7976714447832</v>
      </c>
      <c r="AO151" s="52">
        <f>AO149+AO150</f>
        <v>88509.572057337282</v>
      </c>
      <c r="AP151" s="52">
        <f>AP149+AP150</f>
        <v>7835.6586892877467</v>
      </c>
      <c r="AQ151" s="52">
        <f>AQ149+AQ150</f>
        <v>7835.6586892877467</v>
      </c>
      <c r="AR151" s="52">
        <f>AR149+AR150</f>
        <v>7835.6586892877467</v>
      </c>
      <c r="AS151" s="52">
        <f>AS149+AS150</f>
        <v>7835.6586892877467</v>
      </c>
      <c r="AT151" s="52">
        <f>AT149+AT150</f>
        <v>7835.6586892877467</v>
      </c>
      <c r="AU151" s="52">
        <f>AU149+AU150</f>
        <v>7835.6586892877467</v>
      </c>
      <c r="AV151" s="52">
        <f>AV149+AV150</f>
        <v>7835.6586892877467</v>
      </c>
      <c r="AW151" s="52">
        <f>AW149+AW150</f>
        <v>7835.6586892877467</v>
      </c>
      <c r="AX151" s="52">
        <f>AX149+AX150</f>
        <v>7835.6586892877467</v>
      </c>
      <c r="AY151" s="52">
        <f>AY149+AY150</f>
        <v>7835.6586892877467</v>
      </c>
      <c r="AZ151" s="52">
        <f>AZ149+AZ150</f>
        <v>7835.6586892877467</v>
      </c>
      <c r="BA151" s="52">
        <f>BA149+BA150</f>
        <v>7835.6586892877467</v>
      </c>
      <c r="BB151" s="52">
        <f>BB149+BB150</f>
        <v>94027.904271452906</v>
      </c>
      <c r="BC151" s="52">
        <f>BC149+BC150</f>
        <v>8299.0191862645061</v>
      </c>
      <c r="BD151" s="52">
        <f>BD149+BD150</f>
        <v>8299.0191862645061</v>
      </c>
      <c r="BE151" s="52">
        <f>BE149+BE150</f>
        <v>8299.0191862645061</v>
      </c>
      <c r="BF151" s="52">
        <f>BF149+BF150</f>
        <v>8299.0191862645061</v>
      </c>
      <c r="BG151" s="52">
        <f>BG149+BG150</f>
        <v>8299.0191862645061</v>
      </c>
      <c r="BH151" s="52">
        <f>BH149+BH150</f>
        <v>8299.0191862645061</v>
      </c>
      <c r="BI151" s="52">
        <f>BI149+BI150</f>
        <v>8299.0191862645061</v>
      </c>
      <c r="BJ151" s="52">
        <f>BJ149+BJ150</f>
        <v>8299.0191862645061</v>
      </c>
      <c r="BK151" s="52">
        <f>BK149+BK150</f>
        <v>8299.0191862645061</v>
      </c>
      <c r="BL151" s="52">
        <f>BL149+BL150</f>
        <v>8299.0191862645061</v>
      </c>
      <c r="BM151" s="52">
        <f>BM149+BM150</f>
        <v>8299.0191862645061</v>
      </c>
      <c r="BN151" s="52">
        <f>BN149+BN150</f>
        <v>8299.0191862645061</v>
      </c>
      <c r="BO151" s="52">
        <f>BO149+BO150</f>
        <v>99588.230235174109</v>
      </c>
    </row>
    <row r="152" ht="15" customHeight="1">
      <c r="A152" s="49" t="inlineStr">
        <is>
          <t>Add: Depreciation &amp; Amortization</t>
        </is>
      </c>
      <c r="C152" s="50">
        <f>C27</f>
        <v>3000</v>
      </c>
      <c r="D152" s="50">
        <f>D27</f>
        <v>3000</v>
      </c>
      <c r="E152" s="50">
        <f>E27</f>
        <v>3000</v>
      </c>
      <c r="F152" s="50">
        <f>F27</f>
        <v>3000</v>
      </c>
      <c r="G152" s="50">
        <f>G27</f>
        <v>3000</v>
      </c>
      <c r="H152" s="50">
        <f>H27</f>
        <v>3000</v>
      </c>
      <c r="I152" s="50">
        <f>I27</f>
        <v>3000</v>
      </c>
      <c r="J152" s="50">
        <f>J27</f>
        <v>3000</v>
      </c>
      <c r="K152" s="50">
        <f>K27</f>
        <v>3000</v>
      </c>
      <c r="L152" s="50">
        <f>L27</f>
        <v>3000</v>
      </c>
      <c r="M152" s="50">
        <f>M27</f>
        <v>3000</v>
      </c>
      <c r="N152" s="50">
        <f>N27</f>
        <v>3000</v>
      </c>
      <c r="O152" s="50">
        <f>O27</f>
        <v>36000</v>
      </c>
      <c r="P152" s="50">
        <f>P27</f>
        <v>3000</v>
      </c>
      <c r="Q152" s="50">
        <f>Q27</f>
        <v>3000</v>
      </c>
      <c r="R152" s="50">
        <f>R27</f>
        <v>3000</v>
      </c>
      <c r="S152" s="50">
        <f>S27</f>
        <v>3000</v>
      </c>
      <c r="T152" s="50">
        <f>T27</f>
        <v>3000</v>
      </c>
      <c r="U152" s="50">
        <f>U27</f>
        <v>3000</v>
      </c>
      <c r="V152" s="50">
        <f>V27</f>
        <v>3000</v>
      </c>
      <c r="W152" s="50">
        <f>W27</f>
        <v>3000</v>
      </c>
      <c r="X152" s="50">
        <f>X27</f>
        <v>3000</v>
      </c>
      <c r="Y152" s="50">
        <f>Y27</f>
        <v>3000</v>
      </c>
      <c r="Z152" s="50">
        <f>Z27</f>
        <v>3000</v>
      </c>
      <c r="AA152" s="50">
        <f>AA27</f>
        <v>3000</v>
      </c>
      <c r="AB152" s="50">
        <f>AB27</f>
        <v>36000</v>
      </c>
      <c r="AC152" s="50">
        <f>AC27</f>
        <v>3000</v>
      </c>
      <c r="AD152" s="50">
        <f>AD27</f>
        <v>3000</v>
      </c>
      <c r="AE152" s="50">
        <f>AE27</f>
        <v>3000</v>
      </c>
      <c r="AF152" s="50">
        <f>AF27</f>
        <v>3000</v>
      </c>
      <c r="AG152" s="50">
        <f>AG27</f>
        <v>3000</v>
      </c>
      <c r="AH152" s="50">
        <f>AH27</f>
        <v>3000</v>
      </c>
      <c r="AI152" s="50">
        <f>AI27</f>
        <v>3000</v>
      </c>
      <c r="AJ152" s="50">
        <f>AJ27</f>
        <v>3000</v>
      </c>
      <c r="AK152" s="50">
        <f>AK27</f>
        <v>3000</v>
      </c>
      <c r="AL152" s="50">
        <f>AL27</f>
        <v>3000</v>
      </c>
      <c r="AM152" s="50">
        <f>AM27</f>
        <v>3000</v>
      </c>
      <c r="AN152" s="50">
        <f>AN27</f>
        <v>3000</v>
      </c>
      <c r="AO152" s="50">
        <f>AO27</f>
        <v>36000</v>
      </c>
      <c r="AP152" s="50">
        <f>AP27</f>
        <v>3000</v>
      </c>
      <c r="AQ152" s="50">
        <f>AQ27</f>
        <v>3000</v>
      </c>
      <c r="AR152" s="50">
        <f>AR27</f>
        <v>3000</v>
      </c>
      <c r="AS152" s="50">
        <f>AS27</f>
        <v>3000</v>
      </c>
      <c r="AT152" s="50">
        <f>AT27</f>
        <v>3000</v>
      </c>
      <c r="AU152" s="50">
        <f>AU27</f>
        <v>3000</v>
      </c>
      <c r="AV152" s="50">
        <f>AV27</f>
        <v>3000</v>
      </c>
      <c r="AW152" s="50">
        <f>AW27</f>
        <v>3000</v>
      </c>
      <c r="AX152" s="50">
        <f>AX27</f>
        <v>3000</v>
      </c>
      <c r="AY152" s="50">
        <f>AY27</f>
        <v>3000</v>
      </c>
      <c r="AZ152" s="50">
        <f>AZ27</f>
        <v>3000</v>
      </c>
      <c r="BA152" s="50">
        <f>BA27</f>
        <v>3000</v>
      </c>
      <c r="BB152" s="50">
        <f>BB27</f>
        <v>36000</v>
      </c>
      <c r="BC152" s="50">
        <f>BC27</f>
        <v>3000</v>
      </c>
      <c r="BD152" s="50">
        <f>BD27</f>
        <v>3000</v>
      </c>
      <c r="BE152" s="50">
        <f>BE27</f>
        <v>3000</v>
      </c>
      <c r="BF152" s="50">
        <f>BF27</f>
        <v>3000</v>
      </c>
      <c r="BG152" s="50">
        <f>BG27</f>
        <v>3000</v>
      </c>
      <c r="BH152" s="50">
        <f>BH27</f>
        <v>3000</v>
      </c>
      <c r="BI152" s="50">
        <f>BI27</f>
        <v>3000</v>
      </c>
      <c r="BJ152" s="50">
        <f>BJ27</f>
        <v>3000</v>
      </c>
      <c r="BK152" s="50">
        <f>BK27</f>
        <v>3000</v>
      </c>
      <c r="BL152" s="50">
        <f>BL27</f>
        <v>3000</v>
      </c>
      <c r="BM152" s="50">
        <f>BM27</f>
        <v>3000</v>
      </c>
      <c r="BN152" s="50">
        <f>BN27</f>
        <v>3000</v>
      </c>
      <c r="BO152" s="50">
        <f>BO27</f>
        <v>36000</v>
      </c>
    </row>
    <row r="153" ht="15" customHeight="1">
      <c r="A153" s="49" t="inlineStr">
        <is>
          <t>Less: Capital Expenditures</t>
        </is>
      </c>
      <c r="C153" s="50">
        <f>0</f>
        <v>0</v>
      </c>
      <c r="D153" s="50">
        <f>0</f>
        <v>0</v>
      </c>
      <c r="E153" s="50">
        <f>0</f>
        <v>0</v>
      </c>
      <c r="F153" s="50">
        <f>0</f>
        <v>0</v>
      </c>
      <c r="G153" s="50">
        <f>0</f>
        <v>0</v>
      </c>
      <c r="H153" s="50">
        <f>0</f>
        <v>0</v>
      </c>
      <c r="I153" s="50">
        <f>0</f>
        <v>0</v>
      </c>
      <c r="J153" s="50">
        <f>0</f>
        <v>0</v>
      </c>
      <c r="K153" s="50">
        <f>0</f>
        <v>0</v>
      </c>
      <c r="L153" s="50">
        <f>0</f>
        <v>0</v>
      </c>
      <c r="M153" s="50">
        <f>0</f>
        <v>0</v>
      </c>
      <c r="N153" s="50">
        <f>0</f>
        <v>0</v>
      </c>
      <c r="O153" s="50">
        <f>0</f>
        <v>0</v>
      </c>
      <c r="P153" s="50">
        <f>0</f>
        <v>0</v>
      </c>
      <c r="Q153" s="50">
        <f>0</f>
        <v>0</v>
      </c>
      <c r="R153" s="50">
        <f>0</f>
        <v>0</v>
      </c>
      <c r="S153" s="50">
        <f>0</f>
        <v>0</v>
      </c>
      <c r="T153" s="50">
        <f>0</f>
        <v>0</v>
      </c>
      <c r="U153" s="50">
        <f>0</f>
        <v>0</v>
      </c>
      <c r="V153" s="50">
        <f>0</f>
        <v>0</v>
      </c>
      <c r="W153" s="50">
        <f>0</f>
        <v>0</v>
      </c>
      <c r="X153" s="50">
        <f>0</f>
        <v>0</v>
      </c>
      <c r="Y153" s="50">
        <f>0</f>
        <v>0</v>
      </c>
      <c r="Z153" s="50">
        <f>0</f>
        <v>0</v>
      </c>
      <c r="AA153" s="50">
        <f>0</f>
        <v>0</v>
      </c>
      <c r="AB153" s="50">
        <f>0</f>
        <v>0</v>
      </c>
      <c r="AC153" s="50">
        <f>0</f>
        <v>0</v>
      </c>
      <c r="AD153" s="50">
        <f>0</f>
        <v>0</v>
      </c>
      <c r="AE153" s="50">
        <f>0</f>
        <v>0</v>
      </c>
      <c r="AF153" s="50">
        <f>0</f>
        <v>0</v>
      </c>
      <c r="AG153" s="50">
        <f>0</f>
        <v>0</v>
      </c>
      <c r="AH153" s="50">
        <f>0</f>
        <v>0</v>
      </c>
      <c r="AI153" s="50">
        <f>0</f>
        <v>0</v>
      </c>
      <c r="AJ153" s="50">
        <f>0</f>
        <v>0</v>
      </c>
      <c r="AK153" s="50">
        <f>0</f>
        <v>0</v>
      </c>
      <c r="AL153" s="50">
        <f>0</f>
        <v>0</v>
      </c>
      <c r="AM153" s="50">
        <f>0</f>
        <v>0</v>
      </c>
      <c r="AN153" s="50">
        <f>0</f>
        <v>0</v>
      </c>
      <c r="AO153" s="50">
        <f>0</f>
        <v>0</v>
      </c>
      <c r="AP153" s="50">
        <f>0</f>
        <v>0</v>
      </c>
      <c r="AQ153" s="50">
        <f>0</f>
        <v>0</v>
      </c>
      <c r="AR153" s="50">
        <f>0</f>
        <v>0</v>
      </c>
      <c r="AS153" s="50">
        <f>0</f>
        <v>0</v>
      </c>
      <c r="AT153" s="50">
        <f>0</f>
        <v>0</v>
      </c>
      <c r="AU153" s="50">
        <f>0</f>
        <v>0</v>
      </c>
      <c r="AV153" s="50">
        <f>0</f>
        <v>0</v>
      </c>
      <c r="AW153" s="50">
        <f>0</f>
        <v>0</v>
      </c>
      <c r="AX153" s="50">
        <f>0</f>
        <v>0</v>
      </c>
      <c r="AY153" s="50">
        <f>0</f>
        <v>0</v>
      </c>
      <c r="AZ153" s="50">
        <f>0</f>
        <v>0</v>
      </c>
      <c r="BA153" s="50">
        <f>0</f>
        <v>0</v>
      </c>
      <c r="BB153" s="50">
        <f>0</f>
        <v>0</v>
      </c>
      <c r="BC153" s="50">
        <f>0</f>
        <v>0</v>
      </c>
      <c r="BD153" s="50">
        <f>0</f>
        <v>0</v>
      </c>
      <c r="BE153" s="50">
        <f>0</f>
        <v>0</v>
      </c>
      <c r="BF153" s="50">
        <f>0</f>
        <v>0</v>
      </c>
      <c r="BG153" s="50">
        <f>0</f>
        <v>0</v>
      </c>
      <c r="BH153" s="50">
        <f>0</f>
        <v>0</v>
      </c>
      <c r="BI153" s="50">
        <f>0</f>
        <v>0</v>
      </c>
      <c r="BJ153" s="50">
        <f>0</f>
        <v>0</v>
      </c>
      <c r="BK153" s="50">
        <f>0</f>
        <v>0</v>
      </c>
      <c r="BL153" s="50">
        <f>0</f>
        <v>0</v>
      </c>
      <c r="BM153" s="50">
        <f>0</f>
        <v>0</v>
      </c>
      <c r="BN153" s="50">
        <f>0</f>
        <v>0</v>
      </c>
      <c r="BO153" s="50">
        <f>0</f>
        <v>0</v>
      </c>
    </row>
    <row r="154" ht="15" customHeight="1">
      <c r="A154" s="49" t="inlineStr">
        <is>
          <t>Less: Increase in Net Working Capital</t>
        </is>
      </c>
      <c r="C154" s="50">
        <f>C70</f>
        <v>410.45564862499992</v>
      </c>
      <c r="D154" s="50">
        <f>D70</f>
        <v>410.45564862499992</v>
      </c>
      <c r="E154" s="50">
        <f>E70</f>
        <v>410.45564862499998</v>
      </c>
      <c r="F154" s="50">
        <f>F70</f>
        <v>410.45564862499987</v>
      </c>
      <c r="G154" s="50">
        <f>G70</f>
        <v>410.45564862500009</v>
      </c>
      <c r="H154" s="50">
        <f>H70</f>
        <v>410.45564862499987</v>
      </c>
      <c r="I154" s="50">
        <f>I70</f>
        <v>410.45564862500032</v>
      </c>
      <c r="J154" s="50">
        <f>J70</f>
        <v>410.45564862499941</v>
      </c>
      <c r="K154" s="50">
        <f>K70</f>
        <v>410.45564862499987</v>
      </c>
      <c r="L154" s="50">
        <f>L70</f>
        <v>410.45564862500032</v>
      </c>
      <c r="M154" s="50">
        <f>M70</f>
        <v>410.45564862499941</v>
      </c>
      <c r="N154" s="50">
        <f>N70</f>
        <v>410.45564862500032</v>
      </c>
      <c r="O154" s="50">
        <f>O70</f>
        <v>4925.4677834999993</v>
      </c>
      <c r="P154" s="50">
        <f>P70</f>
        <v>18.470504188125233</v>
      </c>
      <c r="Q154" s="50">
        <f>Q70</f>
        <v>18.470504188124323</v>
      </c>
      <c r="R154" s="50">
        <f>R70</f>
        <v>18.470504188125233</v>
      </c>
      <c r="S154" s="50">
        <f>S70</f>
        <v>18.470504188125233</v>
      </c>
      <c r="T154" s="50">
        <f>T70</f>
        <v>18.470504188124323</v>
      </c>
      <c r="U154" s="50">
        <f>U70</f>
        <v>18.470504188125233</v>
      </c>
      <c r="V154" s="50">
        <f>V70</f>
        <v>18.470504188125233</v>
      </c>
      <c r="W154" s="50">
        <f>W70</f>
        <v>18.470504188124323</v>
      </c>
      <c r="X154" s="50">
        <f>X70</f>
        <v>18.470504188125233</v>
      </c>
      <c r="Y154" s="50">
        <f>Y70</f>
        <v>18.470504188125233</v>
      </c>
      <c r="Z154" s="50">
        <f>Z70</f>
        <v>18.470504188124323</v>
      </c>
      <c r="AA154" s="50">
        <f>AA70</f>
        <v>18.470504188125233</v>
      </c>
      <c r="AB154" s="50">
        <f>AB70</f>
        <v>221.64605025749916</v>
      </c>
      <c r="AC154" s="50">
        <f>AC70</f>
        <v>19.301676876591046</v>
      </c>
      <c r="AD154" s="50">
        <f>AD70</f>
        <v>19.301676876590136</v>
      </c>
      <c r="AE154" s="50">
        <f>AE70</f>
        <v>19.301676876590136</v>
      </c>
      <c r="AF154" s="50">
        <f>AF70</f>
        <v>19.301676876591046</v>
      </c>
      <c r="AG154" s="50">
        <f>AG70</f>
        <v>19.301676876591046</v>
      </c>
      <c r="AH154" s="50">
        <f>AH70</f>
        <v>19.301676876590136</v>
      </c>
      <c r="AI154" s="50">
        <f>AI70</f>
        <v>19.301676876590136</v>
      </c>
      <c r="AJ154" s="50">
        <f>AJ70</f>
        <v>19.301676876591046</v>
      </c>
      <c r="AK154" s="50">
        <f>AK70</f>
        <v>19.301676876591046</v>
      </c>
      <c r="AL154" s="50">
        <f>AL70</f>
        <v>19.301676876590136</v>
      </c>
      <c r="AM154" s="50">
        <f>AM70</f>
        <v>19.301676876590136</v>
      </c>
      <c r="AN154" s="50">
        <f>AN70</f>
        <v>19.301676876591046</v>
      </c>
      <c r="AO154" s="50">
        <f>AO70</f>
        <v>231.62012251908709</v>
      </c>
      <c r="AP154" s="50">
        <f>AP70</f>
        <v>20.170252336037265</v>
      </c>
      <c r="AQ154" s="50">
        <f>AQ70</f>
        <v>20.170252336037265</v>
      </c>
      <c r="AR154" s="50">
        <f>AR70</f>
        <v>20.170252336037265</v>
      </c>
      <c r="AS154" s="50">
        <f>AS70</f>
        <v>20.170252336037265</v>
      </c>
      <c r="AT154" s="50">
        <f>AT70</f>
        <v>20.170252336037265</v>
      </c>
      <c r="AU154" s="50">
        <f>AU70</f>
        <v>20.170252336036356</v>
      </c>
      <c r="AV154" s="50">
        <f>AV70</f>
        <v>20.170252336037265</v>
      </c>
      <c r="AW154" s="50">
        <f>AW70</f>
        <v>20.170252336037265</v>
      </c>
      <c r="AX154" s="50">
        <f>AX70</f>
        <v>20.170252336037265</v>
      </c>
      <c r="AY154" s="50">
        <f>AY70</f>
        <v>20.170252336037265</v>
      </c>
      <c r="AZ154" s="50">
        <f>AZ70</f>
        <v>20.170252336037265</v>
      </c>
      <c r="BA154" s="50">
        <f>BA70</f>
        <v>20.170252336037265</v>
      </c>
      <c r="BB154" s="50">
        <f>BB70</f>
        <v>242.04302803244627</v>
      </c>
      <c r="BC154" s="50">
        <f>BC70</f>
        <v>21.077913691158756</v>
      </c>
      <c r="BD154" s="50">
        <f>BD70</f>
        <v>21.077913691158756</v>
      </c>
      <c r="BE154" s="50">
        <f>BE70</f>
        <v>21.077913691158756</v>
      </c>
      <c r="BF154" s="50">
        <f>BF70</f>
        <v>21.077913691158756</v>
      </c>
      <c r="BG154" s="50">
        <f>BG70</f>
        <v>21.077913691158756</v>
      </c>
      <c r="BH154" s="50">
        <f>BH70</f>
        <v>21.077913691158756</v>
      </c>
      <c r="BI154" s="50">
        <f>BI70</f>
        <v>21.077913691159665</v>
      </c>
      <c r="BJ154" s="50">
        <f>BJ70</f>
        <v>21.077913691158756</v>
      </c>
      <c r="BK154" s="50">
        <f>BK70</f>
        <v>21.077913691158756</v>
      </c>
      <c r="BL154" s="50">
        <f>BL70</f>
        <v>21.077913691158756</v>
      </c>
      <c r="BM154" s="50">
        <f>BM70</f>
        <v>21.077913691158756</v>
      </c>
      <c r="BN154" s="50">
        <f>BN70</f>
        <v>21.077913691158756</v>
      </c>
      <c r="BO154" s="50">
        <f>BO70</f>
        <v>252.93496429390598</v>
      </c>
    </row>
    <row r="155" ht="15" customHeight="1">
      <c r="A155" s="60" t="inlineStr">
        <is>
          <t>Unlevered Free Cash Flow</t>
        </is>
      </c>
      <c r="B155" s="53" t="n"/>
      <c r="C155" s="52">
        <f>C151+C152+C153+C154</f>
        <v>13721.97363118541</v>
      </c>
      <c r="D155" s="52">
        <f>D151+D152+D153+D154</f>
        <v>13721.97363118541</v>
      </c>
      <c r="E155" s="52">
        <f>E151+E152+E153+E154</f>
        <v>13721.97363118541</v>
      </c>
      <c r="F155" s="52">
        <f>F151+F152+F153+F154</f>
        <v>13721.97363118541</v>
      </c>
      <c r="G155" s="52">
        <f>G151+G152+G153+G154</f>
        <v>13721.97363118541</v>
      </c>
      <c r="H155" s="52">
        <f>H151+H152+H153+H154</f>
        <v>13721.97363118541</v>
      </c>
      <c r="I155" s="52">
        <f>I151+I152+I153+I154</f>
        <v>13721.97363118541</v>
      </c>
      <c r="J155" s="52">
        <f>J151+J152+J153+J154</f>
        <v>13721.97363118541</v>
      </c>
      <c r="K155" s="52">
        <f>K151+K152+K153+K154</f>
        <v>13721.97363118541</v>
      </c>
      <c r="L155" s="52">
        <f>L151+L152+L153+L154</f>
        <v>13721.97363118541</v>
      </c>
      <c r="M155" s="52">
        <f>M151+M152+M153+M154</f>
        <v>13721.97363118541</v>
      </c>
      <c r="N155" s="52">
        <f>N151+N152+N153+N154</f>
        <v>13721.97363118541</v>
      </c>
      <c r="O155" s="52">
        <f>O151+O152+O153+O154</f>
        <v>164663.68357422497</v>
      </c>
      <c r="P155" s="52">
        <f>P151+P152+P153+P154</f>
        <v>9939.7726405047797</v>
      </c>
      <c r="Q155" s="52">
        <f>Q151+Q152+Q153+Q154</f>
        <v>9939.7726405047797</v>
      </c>
      <c r="R155" s="52">
        <f>R151+R152+R153+R154</f>
        <v>9939.7726405047797</v>
      </c>
      <c r="S155" s="52">
        <f>S151+S152+S153+S154</f>
        <v>9939.7726405047797</v>
      </c>
      <c r="T155" s="52">
        <f>T151+T152+T153+T154</f>
        <v>9939.7726405047797</v>
      </c>
      <c r="U155" s="52">
        <f>U151+U152+U153+U154</f>
        <v>9939.7726405047797</v>
      </c>
      <c r="V155" s="52">
        <f>V151+V152+V153+V154</f>
        <v>9939.7726405047797</v>
      </c>
      <c r="W155" s="52">
        <f>W151+W152+W153+W154</f>
        <v>9939.7726405047797</v>
      </c>
      <c r="X155" s="52">
        <f>X151+X152+X153+X154</f>
        <v>9939.7726405047797</v>
      </c>
      <c r="Y155" s="52">
        <f>Y151+Y152+Y153+Y154</f>
        <v>9939.7726405047797</v>
      </c>
      <c r="Z155" s="52">
        <f>Z151+Z152+Z153+Z154</f>
        <v>9939.7726405047797</v>
      </c>
      <c r="AA155" s="52">
        <f>AA151+AA152+AA153+AA154</f>
        <v>9939.7726405047797</v>
      </c>
      <c r="AB155" s="52">
        <f>AB151+AB152+AB153+AB154</f>
        <v>119277.27168605736</v>
      </c>
      <c r="AC155" s="52">
        <f>AC151+AC152+AC153+AC154</f>
        <v>10395.099348321375</v>
      </c>
      <c r="AD155" s="52">
        <f>AD151+AD152+AD153+AD154</f>
        <v>10395.099348321373</v>
      </c>
      <c r="AE155" s="52">
        <f>AE151+AE152+AE153+AE154</f>
        <v>10395.099348321373</v>
      </c>
      <c r="AF155" s="52">
        <f>AF151+AF152+AF153+AF154</f>
        <v>10395.099348321375</v>
      </c>
      <c r="AG155" s="52">
        <f>AG151+AG152+AG153+AG154</f>
        <v>10395.099348321375</v>
      </c>
      <c r="AH155" s="52">
        <f>AH151+AH152+AH153+AH154</f>
        <v>10395.099348321373</v>
      </c>
      <c r="AI155" s="52">
        <f>AI151+AI152+AI153+AI154</f>
        <v>10395.099348321373</v>
      </c>
      <c r="AJ155" s="52">
        <f>AJ151+AJ152+AJ153+AJ154</f>
        <v>10395.099348321375</v>
      </c>
      <c r="AK155" s="52">
        <f>AK151+AK152+AK153+AK154</f>
        <v>10395.099348321375</v>
      </c>
      <c r="AL155" s="52">
        <f>AL151+AL152+AL153+AL154</f>
        <v>10395.099348321373</v>
      </c>
      <c r="AM155" s="52">
        <f>AM151+AM152+AM153+AM154</f>
        <v>10395.099348321373</v>
      </c>
      <c r="AN155" s="52">
        <f>AN151+AN152+AN153+AN154</f>
        <v>10395.099348321375</v>
      </c>
      <c r="AO155" s="52">
        <f>AO151+AO152+AO153+AO154</f>
        <v>124741.19217985637</v>
      </c>
      <c r="AP155" s="52">
        <f>AP151+AP152+AP153+AP154</f>
        <v>10855.828941623782</v>
      </c>
      <c r="AQ155" s="52">
        <f>AQ151+AQ152+AQ153+AQ154</f>
        <v>10855.828941623782</v>
      </c>
      <c r="AR155" s="52">
        <f>AR151+AR152+AR153+AR154</f>
        <v>10855.828941623782</v>
      </c>
      <c r="AS155" s="52">
        <f>AS151+AS152+AS153+AS154</f>
        <v>10855.828941623782</v>
      </c>
      <c r="AT155" s="52">
        <f>AT151+AT152+AT153+AT154</f>
        <v>10855.828941623782</v>
      </c>
      <c r="AU155" s="52">
        <f>AU151+AU152+AU153+AU154</f>
        <v>10855.828941623782</v>
      </c>
      <c r="AV155" s="52">
        <f>AV151+AV152+AV153+AV154</f>
        <v>10855.828941623782</v>
      </c>
      <c r="AW155" s="52">
        <f>AW151+AW152+AW153+AW154</f>
        <v>10855.828941623782</v>
      </c>
      <c r="AX155" s="52">
        <f>AX151+AX152+AX153+AX154</f>
        <v>10855.828941623782</v>
      </c>
      <c r="AY155" s="52">
        <f>AY151+AY152+AY153+AY154</f>
        <v>10855.828941623782</v>
      </c>
      <c r="AZ155" s="52">
        <f>AZ151+AZ152+AZ153+AZ154</f>
        <v>10855.828941623782</v>
      </c>
      <c r="BA155" s="52">
        <f>BA151+BA152+BA153+BA154</f>
        <v>10855.828941623782</v>
      </c>
      <c r="BB155" s="52">
        <f>BB151+BB152+BB153+BB154</f>
        <v>130269.94729948536</v>
      </c>
      <c r="BC155" s="52">
        <f>BC151+BC152+BC153+BC154</f>
        <v>11320.097099955665</v>
      </c>
      <c r="BD155" s="52">
        <f>BD151+BD152+BD153+BD154</f>
        <v>11320.097099955665</v>
      </c>
      <c r="BE155" s="52">
        <f>BE151+BE152+BE153+BE154</f>
        <v>11320.097099955665</v>
      </c>
      <c r="BF155" s="52">
        <f>BF151+BF152+BF153+BF154</f>
        <v>11320.097099955665</v>
      </c>
      <c r="BG155" s="52">
        <f>BG151+BG152+BG153+BG154</f>
        <v>11320.097099955665</v>
      </c>
      <c r="BH155" s="52">
        <f>BH151+BH152+BH153+BH154</f>
        <v>11320.097099955665</v>
      </c>
      <c r="BI155" s="52">
        <f>BI151+BI152+BI153+BI154</f>
        <v>11320.097099955667</v>
      </c>
      <c r="BJ155" s="52">
        <f>BJ151+BJ152+BJ153+BJ154</f>
        <v>11320.097099955665</v>
      </c>
      <c r="BK155" s="52">
        <f>BK151+BK152+BK153+BK154</f>
        <v>11320.097099955665</v>
      </c>
      <c r="BL155" s="52">
        <f>BL151+BL152+BL153+BL154</f>
        <v>11320.097099955665</v>
      </c>
      <c r="BM155" s="52">
        <f>BM151+BM152+BM153+BM154</f>
        <v>11320.097099955665</v>
      </c>
      <c r="BN155" s="52">
        <f>BN151+BN152+BN153+BN154</f>
        <v>11320.097099955665</v>
      </c>
      <c r="BO155" s="52">
        <f>BO151+BO152+BO153+BO154</f>
        <v>135841.16519946803</v>
      </c>
    </row>
    <row r="156"/>
    <row r="157" ht="15" customHeight="1">
      <c r="A157" s="49" t="inlineStr">
        <is>
          <t>Discount Period</t>
        </is>
      </c>
      <c r="C157" s="68" t="n"/>
      <c r="D157" s="68" t="n"/>
      <c r="E157" s="68" t="n"/>
      <c r="F157" s="68" t="n"/>
      <c r="G157" s="68" t="n"/>
      <c r="H157" s="68" t="n"/>
      <c r="I157" s="68" t="n"/>
      <c r="J157" s="68" t="n"/>
      <c r="K157" s="68" t="n"/>
      <c r="L157" s="68" t="n"/>
      <c r="M157" s="68" t="n"/>
      <c r="N157" s="68" t="n"/>
      <c r="O157" s="68">
        <f>1</f>
        <v>1</v>
      </c>
      <c r="P157" s="68" t="n"/>
      <c r="Q157" s="68" t="n"/>
      <c r="R157" s="68" t="n"/>
      <c r="S157" s="68" t="n"/>
      <c r="T157" s="68" t="n"/>
      <c r="U157" s="68" t="n"/>
      <c r="V157" s="68" t="n"/>
      <c r="W157" s="68" t="n"/>
      <c r="X157" s="68" t="n"/>
      <c r="Y157" s="68" t="n"/>
      <c r="Z157" s="68" t="n"/>
      <c r="AA157" s="68" t="n"/>
      <c r="AB157" s="68">
        <f>2</f>
        <v>2</v>
      </c>
      <c r="AC157" s="68" t="n"/>
      <c r="AD157" s="68" t="n"/>
      <c r="AE157" s="68" t="n"/>
      <c r="AF157" s="68" t="n"/>
      <c r="AG157" s="68" t="n"/>
      <c r="AH157" s="68" t="n"/>
      <c r="AI157" s="68" t="n"/>
      <c r="AJ157" s="68" t="n"/>
      <c r="AK157" s="68" t="n"/>
      <c r="AL157" s="68" t="n"/>
      <c r="AM157" s="68" t="n"/>
      <c r="AN157" s="68" t="n"/>
      <c r="AO157" s="68">
        <f>3</f>
        <v>3</v>
      </c>
      <c r="AP157" s="68" t="n"/>
      <c r="AQ157" s="68" t="n"/>
      <c r="AR157" s="68" t="n"/>
      <c r="AS157" s="68" t="n"/>
      <c r="AT157" s="68" t="n"/>
      <c r="AU157" s="68" t="n"/>
      <c r="AV157" s="68" t="n"/>
      <c r="AW157" s="68" t="n"/>
      <c r="AX157" s="68" t="n"/>
      <c r="AY157" s="68" t="n"/>
      <c r="AZ157" s="68" t="n"/>
      <c r="BA157" s="68" t="n"/>
      <c r="BB157" s="68">
        <f>4</f>
        <v>4</v>
      </c>
      <c r="BC157" s="68" t="n"/>
      <c r="BD157" s="68" t="n"/>
      <c r="BE157" s="68" t="n"/>
      <c r="BF157" s="68" t="n"/>
      <c r="BG157" s="68" t="n"/>
      <c r="BH157" s="68" t="n"/>
      <c r="BI157" s="68" t="n"/>
      <c r="BJ157" s="68" t="n"/>
      <c r="BK157" s="68" t="n"/>
      <c r="BL157" s="68" t="n"/>
      <c r="BM157" s="68" t="n"/>
      <c r="BN157" s="68" t="n"/>
      <c r="BO157" s="68">
        <f>5</f>
        <v>5</v>
      </c>
    </row>
    <row r="158" ht="15" customHeight="1">
      <c r="A158" s="49" t="inlineStr">
        <is>
          <t>Discount Factor</t>
        </is>
      </c>
      <c r="C158" s="80" t="n"/>
      <c r="D158" s="80" t="n"/>
      <c r="E158" s="80" t="n"/>
      <c r="F158" s="80" t="n"/>
      <c r="G158" s="80" t="n"/>
      <c r="H158" s="80" t="n"/>
      <c r="I158" s="80" t="n"/>
      <c r="J158" s="80" t="n"/>
      <c r="K158" s="80" t="n"/>
      <c r="L158" s="80" t="n"/>
      <c r="M158" s="80" t="n"/>
      <c r="N158" s="80" t="n"/>
      <c r="O158" s="80">
        <f>1/(1+Assumptions!E114)^O157</f>
        <v>0.89686098654708524</v>
      </c>
      <c r="P158" s="80" t="n"/>
      <c r="Q158" s="80" t="n"/>
      <c r="R158" s="80" t="n"/>
      <c r="S158" s="80" t="n"/>
      <c r="T158" s="80" t="n"/>
      <c r="U158" s="80" t="n"/>
      <c r="V158" s="80" t="n"/>
      <c r="W158" s="80" t="n"/>
      <c r="X158" s="80" t="n"/>
      <c r="Y158" s="80" t="n"/>
      <c r="Z158" s="80" t="n"/>
      <c r="AA158" s="80" t="n"/>
      <c r="AB158" s="80">
        <f>1/(1+Assumptions!E114)^AB157</f>
        <v>0.80435962919021098</v>
      </c>
      <c r="AC158" s="80" t="n"/>
      <c r="AD158" s="80" t="n"/>
      <c r="AE158" s="80" t="n"/>
      <c r="AF158" s="80" t="n"/>
      <c r="AG158" s="80" t="n"/>
      <c r="AH158" s="80" t="n"/>
      <c r="AI158" s="80" t="n"/>
      <c r="AJ158" s="80" t="n"/>
      <c r="AK158" s="80" t="n"/>
      <c r="AL158" s="80" t="n"/>
      <c r="AM158" s="80" t="n"/>
      <c r="AN158" s="80" t="n"/>
      <c r="AO158" s="80">
        <f>1/(1+Assumptions!E114)^AO157</f>
        <v>0.72139877057418023</v>
      </c>
      <c r="AP158" s="80" t="n"/>
      <c r="AQ158" s="80" t="n"/>
      <c r="AR158" s="80" t="n"/>
      <c r="AS158" s="80" t="n"/>
      <c r="AT158" s="80" t="n"/>
      <c r="AU158" s="80" t="n"/>
      <c r="AV158" s="80" t="n"/>
      <c r="AW158" s="80" t="n"/>
      <c r="AX158" s="80" t="n"/>
      <c r="AY158" s="80" t="n"/>
      <c r="AZ158" s="80" t="n"/>
      <c r="BA158" s="80" t="n"/>
      <c r="BB158" s="80">
        <f>1/(1+Assumptions!E114)^BB157</f>
        <v>0.64699441307101369</v>
      </c>
      <c r="BC158" s="80" t="n"/>
      <c r="BD158" s="80" t="n"/>
      <c r="BE158" s="80" t="n"/>
      <c r="BF158" s="80" t="n"/>
      <c r="BG158" s="80" t="n"/>
      <c r="BH158" s="80" t="n"/>
      <c r="BI158" s="80" t="n"/>
      <c r="BJ158" s="80" t="n"/>
      <c r="BK158" s="80" t="n"/>
      <c r="BL158" s="80" t="n"/>
      <c r="BM158" s="80" t="n"/>
      <c r="BN158" s="80" t="n"/>
      <c r="BO158" s="80">
        <f>1/(1+Assumptions!E114)^BO157</f>
        <v>0.58026404759732164</v>
      </c>
    </row>
    <row r="159" ht="15" customHeight="1">
      <c r="A159" s="51" t="inlineStr">
        <is>
          <t>PV of Unlevered Free Cash Flow</t>
        </is>
      </c>
      <c r="B159" s="53" t="n"/>
      <c r="C159" s="52" t="n"/>
      <c r="D159" s="52" t="n"/>
      <c r="E159" s="52" t="n"/>
      <c r="F159" s="52" t="n"/>
      <c r="G159" s="52" t="n"/>
      <c r="H159" s="52" t="n"/>
      <c r="I159" s="52" t="n"/>
      <c r="J159" s="52" t="n"/>
      <c r="K159" s="52" t="n"/>
      <c r="L159" s="52" t="n"/>
      <c r="M159" s="52" t="n"/>
      <c r="N159" s="52" t="n"/>
      <c r="O159" s="52">
        <f>O155*O158</f>
        <v>147680.43369885648</v>
      </c>
      <c r="P159" s="52" t="n"/>
      <c r="Q159" s="52" t="n"/>
      <c r="R159" s="52" t="n"/>
      <c r="S159" s="52" t="n"/>
      <c r="T159" s="52" t="n"/>
      <c r="U159" s="52" t="n"/>
      <c r="V159" s="52" t="n"/>
      <c r="W159" s="52" t="n"/>
      <c r="X159" s="52" t="n"/>
      <c r="Y159" s="52" t="n"/>
      <c r="Z159" s="52" t="n"/>
      <c r="AA159" s="52" t="n"/>
      <c r="AB159" s="52">
        <f>AB155*AB158</f>
        <v>95941.822024217152</v>
      </c>
      <c r="AC159" s="52" t="n"/>
      <c r="AD159" s="52" t="n"/>
      <c r="AE159" s="52" t="n"/>
      <c r="AF159" s="52" t="n"/>
      <c r="AG159" s="52" t="n"/>
      <c r="AH159" s="52" t="n"/>
      <c r="AI159" s="52" t="n"/>
      <c r="AJ159" s="52" t="n"/>
      <c r="AK159" s="52" t="n"/>
      <c r="AL159" s="52" t="n"/>
      <c r="AM159" s="52" t="n"/>
      <c r="AN159" s="52" t="n"/>
      <c r="AO159" s="52">
        <f>AO155*AO158</f>
        <v>89988.14267850593</v>
      </c>
      <c r="AP159" s="52" t="n"/>
      <c r="AQ159" s="52" t="n"/>
      <c r="AR159" s="52" t="n"/>
      <c r="AS159" s="52" t="n"/>
      <c r="AT159" s="52" t="n"/>
      <c r="AU159" s="52" t="n"/>
      <c r="AV159" s="52" t="n"/>
      <c r="AW159" s="52" t="n"/>
      <c r="AX159" s="52" t="n"/>
      <c r="AY159" s="52" t="n"/>
      <c r="AZ159" s="52" t="n"/>
      <c r="BA159" s="52" t="n"/>
      <c r="BB159" s="52">
        <f>BB155*BB158</f>
        <v>84283.928093822411</v>
      </c>
      <c r="BC159" s="52" t="n"/>
      <c r="BD159" s="52" t="n"/>
      <c r="BE159" s="52" t="n"/>
      <c r="BF159" s="52" t="n"/>
      <c r="BG159" s="52" t="n"/>
      <c r="BH159" s="52" t="n"/>
      <c r="BI159" s="52" t="n"/>
      <c r="BJ159" s="52" t="n"/>
      <c r="BK159" s="52" t="n"/>
      <c r="BL159" s="52" t="n"/>
      <c r="BM159" s="52" t="n"/>
      <c r="BN159" s="52" t="n"/>
      <c r="BO159" s="52">
        <f>BO155*BO158</f>
        <v>78823.744348979744</v>
      </c>
    </row>
    <row r="160"/>
    <row r="161" ht="15" customHeight="1">
      <c r="A161" s="60" t="inlineStr">
        <is>
          <t>Sum of PV of UFCF (Years 1–5)</t>
        </is>
      </c>
      <c r="C161" s="56" t="n"/>
      <c r="D161" s="56" t="n"/>
      <c r="E161" s="56" t="n"/>
      <c r="F161" s="56" t="n"/>
      <c r="G161" s="56" t="n"/>
      <c r="H161" s="56" t="n"/>
      <c r="I161" s="56" t="n"/>
      <c r="J161" s="56" t="n"/>
      <c r="K161" s="56" t="n"/>
      <c r="L161" s="56" t="n"/>
      <c r="M161" s="56" t="n"/>
      <c r="N161" s="56" t="n"/>
      <c r="O161" s="56">
        <f>O159+AB159+AO159+BB159+BO159</f>
        <v>496718.07084438164</v>
      </c>
      <c r="P161" s="56" t="n"/>
      <c r="Q161" s="56" t="n"/>
      <c r="R161" s="56" t="n"/>
      <c r="S161" s="56" t="n"/>
      <c r="T161" s="56" t="n"/>
      <c r="U161" s="56" t="n"/>
      <c r="V161" s="56" t="n"/>
      <c r="W161" s="56" t="n"/>
      <c r="X161" s="56" t="n"/>
      <c r="Y161" s="56" t="n"/>
      <c r="Z161" s="56" t="n"/>
      <c r="AA161" s="56" t="n"/>
      <c r="AC161" s="56" t="n"/>
      <c r="AD161" s="56" t="n"/>
      <c r="AE161" s="56" t="n"/>
      <c r="AF161" s="56" t="n"/>
      <c r="AG161" s="56" t="n"/>
      <c r="AH161" s="56" t="n"/>
      <c r="AI161" s="56" t="n"/>
      <c r="AJ161" s="56" t="n"/>
      <c r="AK161" s="56" t="n"/>
      <c r="AL161" s="56" t="n"/>
      <c r="AM161" s="56" t="n"/>
      <c r="AN161" s="56" t="n"/>
      <c r="AP161" s="56" t="n"/>
      <c r="AQ161" s="56" t="n"/>
      <c r="AR161" s="56" t="n"/>
      <c r="AS161" s="56" t="n"/>
      <c r="AT161" s="56" t="n"/>
      <c r="AU161" s="56" t="n"/>
      <c r="AV161" s="56" t="n"/>
      <c r="AW161" s="56" t="n"/>
      <c r="AX161" s="56" t="n"/>
      <c r="AY161" s="56" t="n"/>
      <c r="AZ161" s="56" t="n"/>
      <c r="BA161" s="56" t="n"/>
      <c r="BC161" s="56" t="n"/>
      <c r="BD161" s="56" t="n"/>
      <c r="BE161" s="56" t="n"/>
      <c r="BF161" s="56" t="n"/>
      <c r="BG161" s="56" t="n"/>
      <c r="BH161" s="56" t="n"/>
      <c r="BI161" s="56" t="n"/>
      <c r="BJ161" s="56" t="n"/>
      <c r="BK161" s="56" t="n"/>
      <c r="BL161" s="56" t="n"/>
      <c r="BM161" s="56" t="n"/>
      <c r="BN161" s="56" t="n"/>
    </row>
    <row r="162" ht="15" customHeight="1">
      <c r="A162" s="60" t="inlineStr">
        <is>
          <t>Terminal Value (as of Year 5, Undiscounted)</t>
        </is>
      </c>
      <c r="C162" s="56" t="n"/>
      <c r="D162" s="56" t="n"/>
      <c r="E162" s="56" t="n"/>
      <c r="F162" s="56" t="n"/>
      <c r="G162" s="56" t="n"/>
      <c r="H162" s="56" t="n"/>
      <c r="I162" s="56" t="n"/>
      <c r="J162" s="56" t="n"/>
      <c r="K162" s="56" t="n"/>
      <c r="L162" s="56" t="n"/>
      <c r="M162" s="56" t="n"/>
      <c r="N162" s="56" t="n"/>
      <c r="O162" s="56">
        <f>BO155*(1+Assumptions!E115)/(Assumptions!E114-Assumptions!E115)</f>
        <v>1646075.2959464949</v>
      </c>
      <c r="P162" s="56" t="n"/>
      <c r="Q162" s="56" t="n"/>
      <c r="R162" s="56" t="n"/>
      <c r="S162" s="56" t="n"/>
      <c r="T162" s="56" t="n"/>
      <c r="U162" s="56" t="n"/>
      <c r="V162" s="56" t="n"/>
      <c r="W162" s="56" t="n"/>
      <c r="X162" s="56" t="n"/>
      <c r="Y162" s="56" t="n"/>
      <c r="Z162" s="56" t="n"/>
      <c r="AA162" s="56" t="n"/>
      <c r="AC162" s="56" t="n"/>
      <c r="AD162" s="56" t="n"/>
      <c r="AE162" s="56" t="n"/>
      <c r="AF162" s="56" t="n"/>
      <c r="AG162" s="56" t="n"/>
      <c r="AH162" s="56" t="n"/>
      <c r="AI162" s="56" t="n"/>
      <c r="AJ162" s="56" t="n"/>
      <c r="AK162" s="56" t="n"/>
      <c r="AL162" s="56" t="n"/>
      <c r="AM162" s="56" t="n"/>
      <c r="AN162" s="56" t="n"/>
      <c r="AP162" s="56" t="n"/>
      <c r="AQ162" s="56" t="n"/>
      <c r="AR162" s="56" t="n"/>
      <c r="AS162" s="56" t="n"/>
      <c r="AT162" s="56" t="n"/>
      <c r="AU162" s="56" t="n"/>
      <c r="AV162" s="56" t="n"/>
      <c r="AW162" s="56" t="n"/>
      <c r="AX162" s="56" t="n"/>
      <c r="AY162" s="56" t="n"/>
      <c r="AZ162" s="56" t="n"/>
      <c r="BA162" s="56" t="n"/>
      <c r="BC162" s="56" t="n"/>
      <c r="BD162" s="56" t="n"/>
      <c r="BE162" s="56" t="n"/>
      <c r="BF162" s="56" t="n"/>
      <c r="BG162" s="56" t="n"/>
      <c r="BH162" s="56" t="n"/>
      <c r="BI162" s="56" t="n"/>
      <c r="BJ162" s="56" t="n"/>
      <c r="BK162" s="56" t="n"/>
      <c r="BL162" s="56" t="n"/>
      <c r="BM162" s="56" t="n"/>
      <c r="BN162" s="56" t="n"/>
    </row>
    <row r="163" ht="15" customHeight="1">
      <c r="A163" s="60" t="inlineStr">
        <is>
          <t>PV of Terminal Value</t>
        </is>
      </c>
      <c r="C163" s="56" t="n"/>
      <c r="D163" s="56" t="n"/>
      <c r="E163" s="56" t="n"/>
      <c r="F163" s="56" t="n"/>
      <c r="G163" s="56" t="n"/>
      <c r="H163" s="56" t="n"/>
      <c r="I163" s="56" t="n"/>
      <c r="J163" s="56" t="n"/>
      <c r="K163" s="56" t="n"/>
      <c r="L163" s="56" t="n"/>
      <c r="M163" s="56" t="n"/>
      <c r="N163" s="56" t="n"/>
      <c r="O163" s="56">
        <f>O162*BO158</f>
        <v>955158.31387587218</v>
      </c>
      <c r="P163" s="56" t="n"/>
      <c r="Q163" s="56" t="n"/>
      <c r="R163" s="56" t="n"/>
      <c r="S163" s="56" t="n"/>
      <c r="T163" s="56" t="n"/>
      <c r="U163" s="56" t="n"/>
      <c r="V163" s="56" t="n"/>
      <c r="W163" s="56" t="n"/>
      <c r="X163" s="56" t="n"/>
      <c r="Y163" s="56" t="n"/>
      <c r="Z163" s="56" t="n"/>
      <c r="AA163" s="56" t="n"/>
      <c r="AC163" s="56" t="n"/>
      <c r="AD163" s="56" t="n"/>
      <c r="AE163" s="56" t="n"/>
      <c r="AF163" s="56" t="n"/>
      <c r="AG163" s="56" t="n"/>
      <c r="AH163" s="56" t="n"/>
      <c r="AI163" s="56" t="n"/>
      <c r="AJ163" s="56" t="n"/>
      <c r="AK163" s="56" t="n"/>
      <c r="AL163" s="56" t="n"/>
      <c r="AM163" s="56" t="n"/>
      <c r="AN163" s="56" t="n"/>
      <c r="AP163" s="56" t="n"/>
      <c r="AQ163" s="56" t="n"/>
      <c r="AR163" s="56" t="n"/>
      <c r="AS163" s="56" t="n"/>
      <c r="AT163" s="56" t="n"/>
      <c r="AU163" s="56" t="n"/>
      <c r="AV163" s="56" t="n"/>
      <c r="AW163" s="56" t="n"/>
      <c r="AX163" s="56" t="n"/>
      <c r="AY163" s="56" t="n"/>
      <c r="AZ163" s="56" t="n"/>
      <c r="BA163" s="56" t="n"/>
      <c r="BC163" s="56" t="n"/>
      <c r="BD163" s="56" t="n"/>
      <c r="BE163" s="56" t="n"/>
      <c r="BF163" s="56" t="n"/>
      <c r="BG163" s="56" t="n"/>
      <c r="BH163" s="56" t="n"/>
      <c r="BI163" s="56" t="n"/>
      <c r="BJ163" s="56" t="n"/>
      <c r="BK163" s="56" t="n"/>
      <c r="BL163" s="56" t="n"/>
      <c r="BM163" s="56" t="n"/>
      <c r="BN163" s="56" t="n"/>
    </row>
    <row r="164" ht="15" customHeight="1">
      <c r="A164" s="60" t="inlineStr">
        <is>
          <t>Enterprise Value</t>
        </is>
      </c>
      <c r="C164" s="52" t="n"/>
      <c r="D164" s="52" t="n"/>
      <c r="E164" s="52" t="n"/>
      <c r="F164" s="52" t="n"/>
      <c r="G164" s="52" t="n"/>
      <c r="H164" s="52" t="n"/>
      <c r="I164" s="52" t="n"/>
      <c r="J164" s="52" t="n"/>
      <c r="K164" s="52" t="n"/>
      <c r="L164" s="52" t="n"/>
      <c r="M164" s="52" t="n"/>
      <c r="N164" s="52" t="n"/>
      <c r="O164" s="52">
        <f>O161+O163</f>
        <v>1451876.3847202538</v>
      </c>
      <c r="P164" s="52" t="n"/>
      <c r="Q164" s="52" t="n"/>
      <c r="R164" s="52" t="n"/>
      <c r="S164" s="52" t="n"/>
      <c r="T164" s="52" t="n"/>
      <c r="U164" s="52" t="n"/>
      <c r="V164" s="52" t="n"/>
      <c r="W164" s="52" t="n"/>
      <c r="X164" s="52" t="n"/>
      <c r="Y164" s="52" t="n"/>
      <c r="Z164" s="52" t="n"/>
      <c r="AA164" s="52" t="n"/>
      <c r="AC164" s="52" t="n"/>
      <c r="AD164" s="52" t="n"/>
      <c r="AE164" s="52" t="n"/>
      <c r="AF164" s="52" t="n"/>
      <c r="AG164" s="52" t="n"/>
      <c r="AH164" s="52" t="n"/>
      <c r="AI164" s="52" t="n"/>
      <c r="AJ164" s="52" t="n"/>
      <c r="AK164" s="52" t="n"/>
      <c r="AL164" s="52" t="n"/>
      <c r="AM164" s="52" t="n"/>
      <c r="AN164" s="52" t="n"/>
      <c r="AP164" s="52" t="n"/>
      <c r="AQ164" s="52" t="n"/>
      <c r="AR164" s="52" t="n"/>
      <c r="AS164" s="52" t="n"/>
      <c r="AT164" s="52" t="n"/>
      <c r="AU164" s="52" t="n"/>
      <c r="AV164" s="52" t="n"/>
      <c r="AW164" s="52" t="n"/>
      <c r="AX164" s="52" t="n"/>
      <c r="AY164" s="52" t="n"/>
      <c r="AZ164" s="52" t="n"/>
      <c r="BA164" s="52" t="n"/>
      <c r="BC164" s="52" t="n"/>
      <c r="BD164" s="52" t="n"/>
      <c r="BE164" s="52" t="n"/>
      <c r="BF164" s="52" t="n"/>
      <c r="BG164" s="52" t="n"/>
      <c r="BH164" s="52" t="n"/>
      <c r="BI164" s="52" t="n"/>
      <c r="BJ164" s="52" t="n"/>
      <c r="BK164" s="52" t="n"/>
      <c r="BL164" s="52" t="n"/>
      <c r="BM164" s="52" t="n"/>
      <c r="BN164" s="52" t="n"/>
    </row>
    <row r="165"/>
    <row r="166" ht="15" customHeight="1">
      <c r="A166" s="60" t="inlineStr">
        <is>
          <t>Less: Net Debt at Close (Debt less Cash)</t>
        </is>
      </c>
      <c r="C166" s="56" t="n"/>
      <c r="D166" s="56" t="n"/>
      <c r="E166" s="56" t="n"/>
      <c r="F166" s="56" t="n"/>
      <c r="G166" s="56" t="n"/>
      <c r="H166" s="56" t="n"/>
      <c r="I166" s="56" t="n"/>
      <c r="J166" s="56" t="n"/>
      <c r="K166" s="56" t="n"/>
      <c r="L166" s="56" t="n"/>
      <c r="M166" s="56" t="n"/>
      <c r="N166" s="56" t="n"/>
      <c r="O166" s="56">
        <f>(Assumptions!E32+Assumptions!E17)-Assumptions!E12</f>
        <v>540000</v>
      </c>
      <c r="P166" s="56" t="n"/>
      <c r="Q166" s="56" t="n"/>
      <c r="R166" s="56" t="n"/>
      <c r="S166" s="56" t="n"/>
      <c r="T166" s="56" t="n"/>
      <c r="U166" s="56" t="n"/>
      <c r="V166" s="56" t="n"/>
      <c r="W166" s="56" t="n"/>
      <c r="X166" s="56" t="n"/>
      <c r="Y166" s="56" t="n"/>
      <c r="Z166" s="56" t="n"/>
      <c r="AA166" s="56" t="n"/>
      <c r="AC166" s="56" t="n"/>
      <c r="AD166" s="56" t="n"/>
      <c r="AE166" s="56" t="n"/>
      <c r="AF166" s="56" t="n"/>
      <c r="AG166" s="56" t="n"/>
      <c r="AH166" s="56" t="n"/>
      <c r="AI166" s="56" t="n"/>
      <c r="AJ166" s="56" t="n"/>
      <c r="AK166" s="56" t="n"/>
      <c r="AL166" s="56" t="n"/>
      <c r="AM166" s="56" t="n"/>
      <c r="AN166" s="56" t="n"/>
      <c r="AP166" s="56" t="n"/>
      <c r="AQ166" s="56" t="n"/>
      <c r="AR166" s="56" t="n"/>
      <c r="AS166" s="56" t="n"/>
      <c r="AT166" s="56" t="n"/>
      <c r="AU166" s="56" t="n"/>
      <c r="AV166" s="56" t="n"/>
      <c r="AW166" s="56" t="n"/>
      <c r="AX166" s="56" t="n"/>
      <c r="AY166" s="56" t="n"/>
      <c r="AZ166" s="56" t="n"/>
      <c r="BA166" s="56" t="n"/>
      <c r="BC166" s="56" t="n"/>
      <c r="BD166" s="56" t="n"/>
      <c r="BE166" s="56" t="n"/>
      <c r="BF166" s="56" t="n"/>
      <c r="BG166" s="56" t="n"/>
      <c r="BH166" s="56" t="n"/>
      <c r="BI166" s="56" t="n"/>
      <c r="BJ166" s="56" t="n"/>
      <c r="BK166" s="56" t="n"/>
      <c r="BL166" s="56" t="n"/>
      <c r="BM166" s="56" t="n"/>
      <c r="BN166" s="56" t="n"/>
    </row>
    <row r="167" ht="15" customHeight="1">
      <c r="A167" s="60" t="inlineStr">
        <is>
          <t>Implied Equity Value</t>
        </is>
      </c>
      <c r="C167" s="52" t="n"/>
      <c r="D167" s="52" t="n"/>
      <c r="E167" s="52" t="n"/>
      <c r="F167" s="52" t="n"/>
      <c r="G167" s="52" t="n"/>
      <c r="H167" s="52" t="n"/>
      <c r="I167" s="52" t="n"/>
      <c r="J167" s="52" t="n"/>
      <c r="K167" s="52" t="n"/>
      <c r="L167" s="52" t="n"/>
      <c r="M167" s="52" t="n"/>
      <c r="N167" s="52" t="n"/>
      <c r="O167" s="52">
        <f>O164-O166</f>
        <v>911876.38472025376</v>
      </c>
      <c r="P167" s="52" t="n"/>
      <c r="Q167" s="52" t="n"/>
      <c r="R167" s="52" t="n"/>
      <c r="S167" s="52" t="n"/>
      <c r="T167" s="52" t="n"/>
      <c r="U167" s="52" t="n"/>
      <c r="V167" s="52" t="n"/>
      <c r="W167" s="52" t="n"/>
      <c r="X167" s="52" t="n"/>
      <c r="Y167" s="52" t="n"/>
      <c r="Z167" s="52" t="n"/>
      <c r="AA167" s="52" t="n"/>
      <c r="AC167" s="52" t="n"/>
      <c r="AD167" s="52" t="n"/>
      <c r="AE167" s="52" t="n"/>
      <c r="AF167" s="52" t="n"/>
      <c r="AG167" s="52" t="n"/>
      <c r="AH167" s="52" t="n"/>
      <c r="AI167" s="52" t="n"/>
      <c r="AJ167" s="52" t="n"/>
      <c r="AK167" s="52" t="n"/>
      <c r="AL167" s="52" t="n"/>
      <c r="AM167" s="52" t="n"/>
      <c r="AN167" s="52" t="n"/>
      <c r="AP167" s="52" t="n"/>
      <c r="AQ167" s="52" t="n"/>
      <c r="AR167" s="52" t="n"/>
      <c r="AS167" s="52" t="n"/>
      <c r="AT167" s="52" t="n"/>
      <c r="AU167" s="52" t="n"/>
      <c r="AV167" s="52" t="n"/>
      <c r="AW167" s="52" t="n"/>
      <c r="AX167" s="52" t="n"/>
      <c r="AY167" s="52" t="n"/>
      <c r="AZ167" s="52" t="n"/>
      <c r="BA167" s="52" t="n"/>
      <c r="BC167" s="52" t="n"/>
      <c r="BD167" s="52" t="n"/>
      <c r="BE167" s="52" t="n"/>
      <c r="BF167" s="52" t="n"/>
      <c r="BG167" s="52" t="n"/>
      <c r="BH167" s="52" t="n"/>
      <c r="BI167" s="52" t="n"/>
      <c r="BJ167" s="52" t="n"/>
      <c r="BK167" s="52" t="n"/>
      <c r="BL167" s="52" t="n"/>
      <c r="BM167" s="52" t="n"/>
      <c r="BN167" s="52" t="n"/>
    </row>
    <row r="168"/>
    <row r="169" ht="15" customHeight="1">
      <c r="A169" s="55" t="inlineStr">
        <is>
          <t>Memo: Buyer Equity Invested</t>
        </is>
      </c>
      <c r="C169" s="50" t="n"/>
      <c r="D169" s="50" t="n"/>
      <c r="E169" s="50" t="n"/>
      <c r="F169" s="50" t="n"/>
      <c r="G169" s="50" t="n"/>
      <c r="H169" s="50" t="n"/>
      <c r="I169" s="50" t="n"/>
      <c r="J169" s="50" t="n"/>
      <c r="K169" s="50" t="n"/>
      <c r="L169" s="50" t="n"/>
      <c r="M169" s="50" t="n"/>
      <c r="N169" s="50" t="n"/>
      <c r="O169" s="50">
        <f>+Assumptions!E41</f>
        <v>60300</v>
      </c>
      <c r="P169" s="50" t="n"/>
      <c r="Q169" s="50" t="n"/>
      <c r="R169" s="50" t="n"/>
      <c r="S169" s="50" t="n"/>
      <c r="T169" s="50" t="n"/>
      <c r="U169" s="50" t="n"/>
      <c r="V169" s="50" t="n"/>
      <c r="W169" s="50" t="n"/>
      <c r="X169" s="50" t="n"/>
      <c r="Y169" s="50" t="n"/>
      <c r="Z169" s="50" t="n"/>
      <c r="AA169" s="50" t="n"/>
      <c r="AC169" s="50" t="n"/>
      <c r="AD169" s="50" t="n"/>
      <c r="AE169" s="50" t="n"/>
      <c r="AF169" s="50" t="n"/>
      <c r="AG169" s="50" t="n"/>
      <c r="AH169" s="50" t="n"/>
      <c r="AI169" s="50" t="n"/>
      <c r="AJ169" s="50" t="n"/>
      <c r="AK169" s="50" t="n"/>
      <c r="AL169" s="50" t="n"/>
      <c r="AM169" s="50" t="n"/>
      <c r="AN169" s="50" t="n"/>
      <c r="AP169" s="50" t="n"/>
      <c r="AQ169" s="50" t="n"/>
      <c r="AR169" s="50" t="n"/>
      <c r="AS169" s="50" t="n"/>
      <c r="AT169" s="50" t="n"/>
      <c r="AU169" s="50" t="n"/>
      <c r="AV169" s="50" t="n"/>
      <c r="AW169" s="50" t="n"/>
      <c r="AX169" s="50" t="n"/>
      <c r="AY169" s="50" t="n"/>
      <c r="AZ169" s="50" t="n"/>
      <c r="BA169" s="50" t="n"/>
      <c r="BC169" s="50" t="n"/>
      <c r="BD169" s="50" t="n"/>
      <c r="BE169" s="50" t="n"/>
      <c r="BF169" s="50" t="n"/>
      <c r="BG169" s="50" t="n"/>
      <c r="BH169" s="50" t="n"/>
      <c r="BI169" s="50" t="n"/>
      <c r="BJ169" s="50" t="n"/>
      <c r="BK169" s="50" t="n"/>
      <c r="BL169" s="50" t="n"/>
      <c r="BM169" s="50" t="n"/>
      <c r="BN169" s="50" t="n"/>
    </row>
    <row r="170" ht="15" customHeight="1">
      <c r="A170" s="55" t="inlineStr">
        <is>
          <t>Memo: Implied Equity Value / Buyer Equity Invested</t>
        </is>
      </c>
      <c r="C170" s="58" t="n"/>
      <c r="D170" s="58" t="n"/>
      <c r="E170" s="58" t="n"/>
      <c r="F170" s="58" t="n"/>
      <c r="G170" s="58" t="n"/>
      <c r="H170" s="58" t="n"/>
      <c r="I170" s="58" t="n"/>
      <c r="J170" s="58" t="n"/>
      <c r="K170" s="58" t="n"/>
      <c r="L170" s="58" t="n"/>
      <c r="M170" s="58" t="n"/>
      <c r="N170" s="58" t="n"/>
      <c r="O170" s="58">
        <f>IFERROR(O167/O169,0)</f>
        <v>15.122328104813494</v>
      </c>
      <c r="P170" s="58" t="n"/>
      <c r="Q170" s="58" t="n"/>
      <c r="R170" s="58" t="n"/>
      <c r="S170" s="58" t="n"/>
      <c r="T170" s="58" t="n"/>
      <c r="U170" s="58" t="n"/>
      <c r="V170" s="58" t="n"/>
      <c r="W170" s="58" t="n"/>
      <c r="X170" s="58" t="n"/>
      <c r="Y170" s="58" t="n"/>
      <c r="Z170" s="58" t="n"/>
      <c r="AA170" s="58" t="n"/>
      <c r="AC170" s="58" t="n"/>
      <c r="AD170" s="58" t="n"/>
      <c r="AE170" s="58" t="n"/>
      <c r="AF170" s="58" t="n"/>
      <c r="AG170" s="58" t="n"/>
      <c r="AH170" s="58" t="n"/>
      <c r="AI170" s="58" t="n"/>
      <c r="AJ170" s="58" t="n"/>
      <c r="AK170" s="58" t="n"/>
      <c r="AL170" s="58" t="n"/>
      <c r="AM170" s="58" t="n"/>
      <c r="AN170" s="58" t="n"/>
      <c r="AP170" s="58" t="n"/>
      <c r="AQ170" s="58" t="n"/>
      <c r="AR170" s="58" t="n"/>
      <c r="AS170" s="58" t="n"/>
      <c r="AT170" s="58" t="n"/>
      <c r="AU170" s="58" t="n"/>
      <c r="AV170" s="58" t="n"/>
      <c r="AW170" s="58" t="n"/>
      <c r="AX170" s="58" t="n"/>
      <c r="AY170" s="58" t="n"/>
      <c r="AZ170" s="58" t="n"/>
      <c r="BA170" s="58" t="n"/>
      <c r="BC170" s="58" t="n"/>
      <c r="BD170" s="58" t="n"/>
      <c r="BE170" s="58" t="n"/>
      <c r="BF170" s="58" t="n"/>
      <c r="BG170" s="58" t="n"/>
      <c r="BH170" s="58" t="n"/>
      <c r="BI170" s="58" t="n"/>
      <c r="BJ170" s="58" t="n"/>
      <c r="BK170" s="58" t="n"/>
      <c r="BL170" s="58" t="n"/>
      <c r="BM170" s="58" t="n"/>
      <c r="BN170" s="58" t="n"/>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34"/>
  <sheetViews>
    <sheetView showGridLines="0" zoomScaleNormal="100" workbookViewId="0">
      <pane xSplit="1" ySplit="5" topLeftCell="B6" activePane="bottomRight" state="frozen"/>
      <selection pane="topRight" activeCell="B1" sqref="B1"/>
      <selection pane="bottomLeft" activeCell="A6" sqref="A6"/>
      <selection pane="bottomRight" activeCell="C121" sqref="C121"/>
    </sheetView>
  </sheetViews>
  <sheetFormatPr baseColWidth="8" defaultColWidth="8.7109375" defaultRowHeight="15"/>
  <cols>
    <col width="54" customWidth="1" min="1" max="1"/>
    <col width="15" customWidth="1" min="2" max="6"/>
    <col width="60" customWidth="1" min="7" max="7"/>
  </cols>
  <sheetData>
    <row r="1" ht="18" customHeight="1">
      <c r="A1" s="43" t="inlineStr">
        <is>
          <t>Smart VAs LLC — Acquisition Model</t>
        </is>
      </c>
    </row>
    <row r="2" ht="15" customHeight="1">
      <c r="A2" s="44" t="inlineStr">
        <is>
          <t>Ratio Analysis, Sensitivities &amp; Return Metrics</t>
        </is>
      </c>
    </row>
    <row r="3" ht="15" customHeight="1">
      <c r="A3" s="45" t="inlineStr">
        <is>
          <t>All figures link live to the Projections tab, which is driven by the Assumptions tab scenario selector (Assumptions!C5).</t>
        </is>
      </c>
    </row>
    <row r="4"/>
    <row r="5" ht="15" customHeight="1">
      <c r="A5" s="46" t="inlineStr">
        <is>
          <t>1. PROFITABILITY RATIOS</t>
        </is>
      </c>
      <c r="B5" s="46" t="n"/>
      <c r="C5" s="46" t="n"/>
      <c r="D5" s="46" t="n"/>
      <c r="E5" s="46" t="n"/>
      <c r="F5" s="46" t="n"/>
      <c r="G5" s="46" t="n"/>
    </row>
    <row r="6" ht="15" customHeight="1">
      <c r="A6" s="47" t="n"/>
      <c r="B6" s="48" t="inlineStr">
        <is>
          <t>Year 1</t>
        </is>
      </c>
      <c r="C6" s="48" t="inlineStr">
        <is>
          <t>Year 2</t>
        </is>
      </c>
      <c r="D6" s="48" t="inlineStr">
        <is>
          <t>Year 3</t>
        </is>
      </c>
      <c r="E6" s="48" t="inlineStr">
        <is>
          <t>Year 4</t>
        </is>
      </c>
      <c r="F6" s="48" t="inlineStr">
        <is>
          <t>Year 5</t>
        </is>
      </c>
    </row>
    <row r="7" ht="15" customHeight="1">
      <c r="A7" s="49" t="inlineStr">
        <is>
          <t>Gross Margin %</t>
        </is>
      </c>
      <c r="B7" s="54">
        <f>Projections!O11</f>
        <v>0.69243832088755763</v>
      </c>
      <c r="C7" s="54">
        <f>Projections!AB11</f>
        <v>0.63743832088755747</v>
      </c>
      <c r="D7" s="54">
        <f>Projections!AO11</f>
        <v>0.63743832088755747</v>
      </c>
      <c r="E7" s="54">
        <f>Projections!BB11</f>
        <v>0.63743832088755747</v>
      </c>
      <c r="F7" s="54">
        <f>Projections!BO11</f>
        <v>0.63743832088755747</v>
      </c>
    </row>
    <row r="8" ht="15" customHeight="1">
      <c r="A8" s="49" t="inlineStr">
        <is>
          <t>EBITDA Margin %</t>
        </is>
      </c>
      <c r="B8" s="54">
        <f>Projections!O26</f>
        <v>0.1843219563091677</v>
      </c>
      <c r="C8" s="54">
        <f>Projections!AB26</f>
        <v>0.12989075535015607</v>
      </c>
      <c r="D8" s="54">
        <f>Projections!AO26</f>
        <v>0.13026198120398727</v>
      </c>
      <c r="E8" s="54">
        <f>Projections!BB26</f>
        <v>0.13042775425717448</v>
      </c>
      <c r="F8" s="54">
        <f>Projections!BO26</f>
        <v>0.13037975401782931</v>
      </c>
    </row>
    <row r="9" ht="15" customHeight="1">
      <c r="A9" s="49" t="inlineStr">
        <is>
          <t>EBIT (Operating) Margin %</t>
        </is>
      </c>
      <c r="B9" s="54">
        <f>Projections!O29</f>
        <v>0.147777204031427</v>
      </c>
      <c r="C9" s="54">
        <f>Projections!AB29</f>
        <v>0.094919700538920945</v>
      </c>
      <c r="D9" s="54">
        <f>Projections!AO29</f>
        <v>0.096796856982709636</v>
      </c>
      <c r="E9" s="54">
        <f>Projections!BB29</f>
        <v>0.098403711940162397</v>
      </c>
      <c r="F9" s="54">
        <f>Projections!BO29</f>
        <v>0.09973473744652589</v>
      </c>
    </row>
    <row r="10" ht="15" customHeight="1">
      <c r="A10" s="49" t="inlineStr">
        <is>
          <t>Net Margin %</t>
        </is>
      </c>
      <c r="B10" s="54">
        <f>Projections!O37</f>
        <v>0.092807834744920922</v>
      </c>
      <c r="C10" s="54">
        <f>Projections!AB37</f>
        <v>0.045697978564680129</v>
      </c>
      <c r="D10" s="54">
        <f>Projections!AO37</f>
        <v>0.053237024555400851</v>
      </c>
      <c r="E10" s="54">
        <f>Projections!BB37</f>
        <v>0.060431443379000527</v>
      </c>
      <c r="F10" s="54">
        <f>Projections!BO37</f>
        <v>0.067287017159596091</v>
      </c>
    </row>
    <row r="11" ht="15" customHeight="1">
      <c r="A11" s="49" t="inlineStr">
        <is>
          <t>Return on Equity (Net Income / Ending Equity)</t>
        </is>
      </c>
      <c r="B11" s="54">
        <f>IFERROR(Projections!O36/Projections!O61,0)</f>
        <v>1.1764705882352942</v>
      </c>
      <c r="C11" s="54">
        <f>IFERROR(Projections!AB36/Projections!AB61,0)</f>
        <v>0.39969226107422018</v>
      </c>
      <c r="D11" s="54">
        <f>IFERROR(Projections!AO36/Projections!AO61,0)</f>
        <v>0.34421761764720932</v>
      </c>
      <c r="E11" s="54">
        <f>IFERROR(Projections!BB36/Projections!BB61,0)</f>
        <v>0.30311561056599701</v>
      </c>
      <c r="F11" s="54">
        <f>IFERROR(Projections!BO36/Projections!BO61,0)</f>
        <v>0.2713444461984823</v>
      </c>
    </row>
    <row r="12" ht="15" customHeight="1">
      <c r="A12" s="49" t="inlineStr">
        <is>
          <t>Return on Assets (Net Income / Ending Total Assets)</t>
        </is>
      </c>
      <c r="B12" s="54">
        <f>IFERROR(Projections!O36/Projections!O51,0)</f>
        <v>0.1496114855777865</v>
      </c>
      <c r="C12" s="54">
        <f>IFERROR(Projections!AB36/Projections!AB51,0)</f>
        <v>0.076998595720948526</v>
      </c>
      <c r="D12" s="54">
        <f>IFERROR(Projections!AO36/Projections!AO51,0)</f>
        <v>0.093013846717043755</v>
      </c>
      <c r="E12" s="54">
        <f>IFERROR(Projections!BB36/Projections!BB51,0)</f>
        <v>0.10863248509392601</v>
      </c>
      <c r="F12" s="54">
        <f>IFERROR(Projections!BO36/Projections!BO51,0)</f>
        <v>0.12353015770152642</v>
      </c>
    </row>
    <row r="13"/>
    <row r="14" ht="15" customHeight="1">
      <c r="A14" s="46" t="inlineStr">
        <is>
          <t>2. LIQUIDITY RATIOS</t>
        </is>
      </c>
      <c r="B14" s="46" t="n"/>
      <c r="C14" s="46" t="n"/>
      <c r="D14" s="46" t="n"/>
      <c r="E14" s="46" t="n"/>
      <c r="F14" s="46" t="n"/>
      <c r="G14" s="46" t="n"/>
    </row>
    <row r="15" ht="15" customHeight="1">
      <c r="A15" s="47" t="n"/>
      <c r="B15" s="48" t="inlineStr">
        <is>
          <t>Year 1</t>
        </is>
      </c>
      <c r="C15" s="48" t="inlineStr">
        <is>
          <t>Year 2</t>
        </is>
      </c>
      <c r="D15" s="48" t="inlineStr">
        <is>
          <t>Year 3</t>
        </is>
      </c>
      <c r="E15" s="48" t="inlineStr">
        <is>
          <t>Year 4</t>
        </is>
      </c>
      <c r="F15" s="48" t="inlineStr">
        <is>
          <t>Year 5</t>
        </is>
      </c>
    </row>
    <row r="16" ht="15" customHeight="1">
      <c r="A16" s="55" t="inlineStr">
        <is>
          <t>Suited to a virtual-assistant staffing business: no inventory, so Quick Ratio equals Current Ratio. "Current portion of long-term debt" is approximated as that year’s scheduled principal (Projections, Schedules 3 &amp; 4).</t>
        </is>
      </c>
    </row>
    <row r="17" ht="15" customHeight="1">
      <c r="A17" s="49" t="inlineStr">
        <is>
          <t>Current Portion of Long-Term Debt (Approx.)</t>
        </is>
      </c>
      <c r="B17" s="50">
        <f>Projections!O126+Projections!O134</f>
        <v>36631.687168462478</v>
      </c>
      <c r="C17" s="50">
        <f>Projections!AB126+Projections!AB134</f>
        <v>40111.69744946641</v>
      </c>
      <c r="D17" s="50">
        <f>Projections!AO126+Projections!AO134</f>
        <v>43922.308707165721</v>
      </c>
      <c r="E17" s="50">
        <f>Projections!BB126+Projections!BB134</f>
        <v>48094.928034346463</v>
      </c>
      <c r="F17" s="50">
        <f>Projections!BO126+Projections!BO134</f>
        <v>52663.946197609373</v>
      </c>
    </row>
    <row r="18" ht="15" customHeight="1">
      <c r="A18" s="49" t="inlineStr">
        <is>
          <t>Current Ratio (Current Assets / Current Portion LTD)</t>
        </is>
      </c>
      <c r="B18" s="58">
        <f>IFERROR(Projections!O48/B17,0)</f>
        <v>2.9231182379022509</v>
      </c>
      <c r="C18" s="58">
        <f>IFERROR(Projections!AB48/C17,0)</f>
        <v>3.56387844661884</v>
      </c>
      <c r="D18" s="58">
        <f>IFERROR(Projections!AO48/D17,0)</f>
        <v>4.1826132388743762</v>
      </c>
      <c r="E18" s="58">
        <f>IFERROR(Projections!BB48/E17,0)</f>
        <v>4.7688871665393098</v>
      </c>
      <c r="F18" s="58">
        <f>IFERROR(Projections!BO48/F17,0)</f>
        <v>5.3145184461826585</v>
      </c>
    </row>
    <row r="19" ht="15" customHeight="1">
      <c r="A19" s="49" t="inlineStr">
        <is>
          <t>Quick Ratio (= Current Ratio; No Inventory)</t>
        </is>
      </c>
      <c r="B19" s="58">
        <f>B18</f>
        <v>2.9231182379022509</v>
      </c>
      <c r="C19" s="58">
        <f>C18</f>
        <v>3.56387844661884</v>
      </c>
      <c r="D19" s="58">
        <f>D18</f>
        <v>4.1826132388743762</v>
      </c>
      <c r="E19" s="58">
        <f>E18</f>
        <v>4.7688871665393098</v>
      </c>
      <c r="F19" s="58">
        <f>F18</f>
        <v>5.3145184461826585</v>
      </c>
    </row>
    <row r="20" ht="15" customHeight="1">
      <c r="A20" s="49" t="inlineStr">
        <is>
          <t>Cash Ratio (Cash / Current Portion LTD)</t>
        </is>
      </c>
      <c r="B20" s="58">
        <f>IFERROR(Projections!O46/B17,0)</f>
        <v>3.0575774497001862</v>
      </c>
      <c r="C20" s="58">
        <f>IFERROR(Projections!AB46/C17,0)</f>
        <v>3.6921979683803396</v>
      </c>
      <c r="D20" s="58">
        <f>IFERROR(Projections!AO46/D17,0)</f>
        <v>4.3050734217426569</v>
      </c>
      <c r="E20" s="58">
        <f>IFERROR(Projections!BB46/E17,0)</f>
        <v>4.8857555602355225</v>
      </c>
      <c r="F20" s="58">
        <f>IFERROR(Projections!BO46/F17,0)</f>
        <v>5.4260503835457108</v>
      </c>
    </row>
    <row r="21" ht="15" customHeight="1">
      <c r="A21" s="49" t="inlineStr">
        <is>
          <t>Working Capital $ (Current Assets less Current Portion LTD)</t>
        </is>
      </c>
      <c r="B21" s="50">
        <f>Projections!O48-B17</f>
        <v>70447.065678800063</v>
      </c>
      <c r="C21" s="50">
        <f>Projections!AB48-C17</f>
        <v>102841.51654798281</v>
      </c>
      <c r="D21" s="50">
        <f>Projections!AO48-D17</f>
        <v>139787.72117335291</v>
      </c>
      <c r="E21" s="50">
        <f>Projections!BB48-E17</f>
        <v>181264.35704428004</v>
      </c>
      <c r="F21" s="50">
        <f>Projections!BO48-F17</f>
        <v>227219.56731835671</v>
      </c>
    </row>
    <row r="22" ht="15" customHeight="1">
      <c r="A22" s="49" t="inlineStr">
        <is>
          <t>Days Cash on Hand</t>
        </is>
      </c>
      <c r="B22" s="81">
        <f>IFERROR(Projections!O46/((Projections!O23+Projections!O9)/365),0)</f>
        <v>50.878113782677083</v>
      </c>
      <c r="C22" s="81">
        <f>IFERROR(Projections!AB46/((Projections!AB23+Projections!AB9)/365),0)</f>
        <v>60.3505639156973</v>
      </c>
      <c r="D22" s="81">
        <f>IFERROR(Projections!AO46/((Projections!AO23+Projections!AO9)/365),0)</f>
        <v>73.766652025321747</v>
      </c>
      <c r="E22" s="81">
        <f>IFERROR(Projections!BB46/((Projections!BB23+Projections!BB9)/365),0)</f>
        <v>87.73883408126548</v>
      </c>
      <c r="F22" s="81">
        <f>IFERROR(Projections!BO46/((Projections!BO23+Projections!BO9)/365),0)</f>
        <v>102.09813347389364</v>
      </c>
    </row>
    <row r="23"/>
    <row r="24" ht="15" customHeight="1">
      <c r="A24" s="46" t="inlineStr">
        <is>
          <t>3. SOLVENCY RATIOS</t>
        </is>
      </c>
      <c r="B24" s="46" t="n"/>
      <c r="C24" s="46" t="n"/>
      <c r="D24" s="46" t="n"/>
      <c r="E24" s="46" t="n"/>
      <c r="F24" s="46" t="n"/>
      <c r="G24" s="46" t="n"/>
    </row>
    <row r="25" ht="15" customHeight="1">
      <c r="A25" s="47" t="n"/>
      <c r="B25" s="48" t="inlineStr">
        <is>
          <t>Year 1</t>
        </is>
      </c>
      <c r="C25" s="48" t="inlineStr">
        <is>
          <t>Year 2</t>
        </is>
      </c>
      <c r="D25" s="48" t="inlineStr">
        <is>
          <t>Year 3</t>
        </is>
      </c>
      <c r="E25" s="48" t="inlineStr">
        <is>
          <t>Year 4</t>
        </is>
      </c>
      <c r="F25" s="48" t="inlineStr">
        <is>
          <t>Year 5</t>
        </is>
      </c>
    </row>
    <row r="26" ht="15" customHeight="1">
      <c r="A26" s="49" t="inlineStr">
        <is>
          <t>Total Debt Outstanding (Senior + Seller)</t>
        </is>
      </c>
      <c r="B26" s="50">
        <f>Projections!O54+Projections!O55</f>
        <v>533368.01283153752</v>
      </c>
      <c r="C26" s="50">
        <f>Projections!AB54+Projections!AB55</f>
        <v>493256.31538207101</v>
      </c>
      <c r="D26" s="50">
        <f>Projections!AO54+Projections!AO55</f>
        <v>449334.00667490537</v>
      </c>
      <c r="E26" s="50">
        <f>Projections!BB54+Projections!BB55</f>
        <v>401239.07864055887</v>
      </c>
      <c r="F26" s="50">
        <f>Projections!BO54+Projections!BO55</f>
        <v>348575.13244294946</v>
      </c>
    </row>
    <row r="27" ht="15" customHeight="1">
      <c r="A27" s="49" t="inlineStr">
        <is>
          <t>Debt-to-Equity</t>
        </is>
      </c>
      <c r="B27" s="58">
        <f>IFERROR(B26/Projections!O61,0)</f>
        <v>6.8635044875857449</v>
      </c>
      <c r="C27" s="58">
        <f>IFERROR(C26/Projections!AB61,0)</f>
        <v>4.1909032539080231</v>
      </c>
      <c r="D27" s="58">
        <f>IFERROR(D26/Projections!AO61,0)</f>
        <v>2.7007137087271462</v>
      </c>
      <c r="E27" s="58">
        <f>IFERROR(E26/Projections!BB61,0)</f>
        <v>1.7902851555307475</v>
      </c>
      <c r="F27" s="58">
        <f>IFERROR(F26/Projections!BO61,0)</f>
        <v>1.1965846336414849</v>
      </c>
    </row>
    <row r="28" ht="15" customHeight="1">
      <c r="A28" s="49" t="inlineStr">
        <is>
          <t>Debt-to-EBITDA</t>
        </is>
      </c>
      <c r="B28" s="58">
        <f>IFERROR(B26/Projections!O25,0)</f>
        <v>2.9374630812212095</v>
      </c>
      <c r="C28" s="58">
        <f>IFERROR(C26/Projections!AB25,0)</f>
        <v>3.6889319444535897</v>
      </c>
      <c r="D28" s="58">
        <f>IFERROR(D26/Projections!AO25,0)</f>
        <v>3.2065760885263965</v>
      </c>
      <c r="E28" s="58">
        <f>IFERROR(E26/Projections!BB25,0)</f>
        <v>2.7365718683804925</v>
      </c>
      <c r="F28" s="58">
        <f>IFERROR(F26/Projections!BO25,0)</f>
        <v>2.2758498371264904</v>
      </c>
    </row>
    <row r="29" ht="15" customHeight="1">
      <c r="A29" s="49" t="inlineStr">
        <is>
          <t>Total Debt Service (Interest + Principal)</t>
        </is>
      </c>
      <c r="B29" s="50">
        <f>Projections!O31+Projections!O32+Projections!O126+Projections!O134</f>
        <v>90781.658668462478</v>
      </c>
      <c r="C29" s="50">
        <f>Projections!AB31+Projections!AB32+Projections!AB126+Projections!AB134</f>
        <v>90781.658668462478</v>
      </c>
      <c r="D29" s="50">
        <f>Projections!AO31+Projections!AO32+Projections!AO126+Projections!AO134</f>
        <v>90781.658668462478</v>
      </c>
      <c r="E29" s="50">
        <f>Projections!BB31+Projections!BB32+Projections!BB126+Projections!BB134</f>
        <v>90781.658668462478</v>
      </c>
      <c r="F29" s="50">
        <f>Projections!BO31+Projections!BO32+Projections!BO126+Projections!BO134</f>
        <v>90781.658668462464</v>
      </c>
    </row>
    <row r="30" ht="15" customHeight="1">
      <c r="A30" s="49" t="inlineStr">
        <is>
          <t>Interest Coverage Ratio (EBIT / Interest)</t>
        </is>
      </c>
      <c r="B30" s="58">
        <f>IFERROR(Projections!O28/(Projections!O31+Projections!O32),0)</f>
        <v>2.6883554595868988</v>
      </c>
      <c r="C30" s="58">
        <f>IFERROR(Projections!AB28/(Projections!AB31+Projections!AB32),0)</f>
        <v>1.9284108058754068</v>
      </c>
      <c r="D30" s="58">
        <f>IFERROR(Projections!AO28/(Projections!AO31+Projections!AO32),0)</f>
        <v>2.2221586169836862</v>
      </c>
      <c r="E30" s="58">
        <f>IFERROR(Projections!BB28/(Projections!BB31+Projections!BB32),0)</f>
        <v>2.5914625506680937</v>
      </c>
      <c r="F30" s="58">
        <f>IFERROR(Projections!BO28/(Projections!BO31+Projections!BO32),0)</f>
        <v>3.0737055350757525</v>
      </c>
    </row>
    <row r="31" ht="15" customHeight="1">
      <c r="A31" s="51" t="inlineStr">
        <is>
          <t>DSCR (EBITDA / Total Debt Service)</t>
        </is>
      </c>
      <c r="B31" s="82">
        <f>IFERROR(Projections!O25/B29,0)</f>
        <v>2.0001217666843409</v>
      </c>
      <c r="C31" s="82">
        <f>IFERROR(Projections!AB25/C29,0)</f>
        <v>1.4729021556691551</v>
      </c>
      <c r="D31" s="82">
        <f>IFERROR(Projections!AO25/D29,0)</f>
        <v>1.5435817141709758</v>
      </c>
      <c r="E31" s="82">
        <f>IFERROR(Projections!BB25/E29,0)</f>
        <v>1.6150956701973571</v>
      </c>
      <c r="F31" s="82">
        <f>IFERROR(Projections!BO25/F29,0)</f>
        <v>1.6871538375988702</v>
      </c>
    </row>
    <row r="32" ht="15" customHeight="1">
      <c r="A32" s="55" t="n"/>
    </row>
    <row r="33"/>
    <row r="34" ht="15" customHeight="1">
      <c r="A34" s="46" t="inlineStr">
        <is>
          <t>4. LABOR COST SENSITIVITY (Year 1)</t>
        </is>
      </c>
      <c r="B34" s="46" t="n"/>
      <c r="C34" s="46" t="n"/>
      <c r="D34" s="46" t="n"/>
      <c r="E34" s="46" t="n"/>
      <c r="F34" s="46" t="n"/>
      <c r="G34" s="46" t="n"/>
    </row>
    <row r="35" ht="15" customHeight="1">
      <c r="A35" s="47" t="n"/>
      <c r="B35" s="48" t="inlineStr">
        <is>
          <t>-10%</t>
        </is>
      </c>
      <c r="C35" s="48" t="inlineStr">
        <is>
          <t>-5%</t>
        </is>
      </c>
      <c r="D35" s="48" t="inlineStr">
        <is>
          <t>Base</t>
        </is>
      </c>
      <c r="E35" s="48" t="inlineStr">
        <is>
          <t>+5%</t>
        </is>
      </c>
      <c r="F35" s="48" t="inlineStr">
        <is>
          <t>+10%</t>
        </is>
      </c>
    </row>
    <row r="36" ht="15" customHeight="1">
      <c r="A36" s="49" t="inlineStr">
        <is>
          <t>Total Labor Cost Shock</t>
        </is>
      </c>
      <c r="B36" s="54" t="n">
        <v>-0.1</v>
      </c>
      <c r="C36" s="54" t="n">
        <v>-0.05</v>
      </c>
      <c r="D36" s="54" t="n">
        <v>0</v>
      </c>
      <c r="E36" s="54" t="n">
        <v>0.05</v>
      </c>
      <c r="F36" s="54" t="n">
        <v>0.1</v>
      </c>
    </row>
    <row r="37" ht="15" customHeight="1">
      <c r="A37" s="51" t="inlineStr">
        <is>
          <t>EBITDA at Shocked Labor Cost</t>
        </is>
      </c>
      <c r="B37" s="56">
        <f>Projections!O25-Projections!O103*B36</f>
        <v>244568.35318664997</v>
      </c>
      <c r="C37" s="56">
        <f>Projections!O25-Projections!O103*C36</f>
        <v>213071.36235257497</v>
      </c>
      <c r="D37" s="56">
        <f>Projections!O25-Projections!O103*D36</f>
        <v>181574.37151849997</v>
      </c>
      <c r="E37" s="56">
        <f>Projections!O25-Projections!O103*E36</f>
        <v>150077.38068442498</v>
      </c>
      <c r="F37" s="56">
        <f>Projections!O25-Projections!O103*F36</f>
        <v>118580.38985034998</v>
      </c>
    </row>
    <row r="38" ht="15" customHeight="1">
      <c r="A38" s="49" t="inlineStr">
        <is>
          <t>EBITDA Margin at Shocked Labor Cost</t>
        </is>
      </c>
      <c r="B38" s="54">
        <f>IFERROR(B37/Projections!O7,0)</f>
        <v>0.24826916339391991</v>
      </c>
      <c r="C38" s="54">
        <f>IFERROR(C37/Projections!O7,0)</f>
        <v>0.21629555985154381</v>
      </c>
      <c r="D38" s="54">
        <f>IFERROR(D37/Projections!O7,0)</f>
        <v>0.1843219563091677</v>
      </c>
      <c r="E38" s="54">
        <f>IFERROR(E37/Projections!O7,0)</f>
        <v>0.15234835276679157</v>
      </c>
      <c r="F38" s="54">
        <f>IFERROR(F37/Projections!O7,0)</f>
        <v>0.12037474922441546</v>
      </c>
    </row>
    <row r="39"/>
    <row r="40" ht="15" customHeight="1">
      <c r="A40" s="46" t="inlineStr">
        <is>
          <t>5. SOFTWARE COST SENSITIVITY (Year 1)</t>
        </is>
      </c>
      <c r="B40" s="46" t="n"/>
      <c r="C40" s="46" t="n"/>
      <c r="D40" s="46" t="n"/>
      <c r="E40" s="46" t="n"/>
      <c r="F40" s="46" t="n"/>
      <c r="G40" s="46" t="n"/>
    </row>
    <row r="41" ht="15" customHeight="1">
      <c r="A41" s="47" t="n"/>
      <c r="B41" s="48" t="inlineStr">
        <is>
          <t>-25%</t>
        </is>
      </c>
      <c r="C41" s="48" t="inlineStr">
        <is>
          <t>Base</t>
        </is>
      </c>
      <c r="D41" s="48" t="inlineStr">
        <is>
          <t>+25%</t>
        </is>
      </c>
      <c r="E41" s="48" t="inlineStr">
        <is>
          <t>+50%</t>
        </is>
      </c>
      <c r="F41" s="48" t="inlineStr">
        <is>
          <t>+100%</t>
        </is>
      </c>
    </row>
    <row r="42" ht="15" customHeight="1">
      <c r="A42" s="49" t="inlineStr">
        <is>
          <t>Software Cost Shock</t>
        </is>
      </c>
      <c r="B42" s="54" t="n">
        <v>-0.25</v>
      </c>
      <c r="C42" s="54" t="n">
        <v>0</v>
      </c>
      <c r="D42" s="54" t="n">
        <v>0.25</v>
      </c>
      <c r="E42" s="54" t="n">
        <v>0.5</v>
      </c>
      <c r="F42" s="54" t="n">
        <v>1</v>
      </c>
    </row>
    <row r="43" ht="15" customHeight="1">
      <c r="A43" s="51" t="inlineStr">
        <is>
          <t>EBITDA at Shocked Software Cost</t>
        </is>
      </c>
      <c r="B43" s="56">
        <f>Projections!O25-Projections!O20*B42</f>
        <v>192734.46189349997</v>
      </c>
      <c r="C43" s="56">
        <f>Projections!O25-Projections!O20*C42</f>
        <v>181574.37151849997</v>
      </c>
      <c r="D43" s="56">
        <f>Projections!O25-Projections!O20*D42</f>
        <v>170414.28114349997</v>
      </c>
      <c r="E43" s="56">
        <f>Projections!O25-Projections!O20*E42</f>
        <v>159254.19076849998</v>
      </c>
      <c r="F43" s="56">
        <f>Projections!O25-Projections!O20*F42</f>
        <v>136934.01001849998</v>
      </c>
    </row>
    <row r="44" ht="15" customHeight="1">
      <c r="A44" s="49" t="inlineStr">
        <is>
          <t>EBITDA Margin at Shocked Software Cost</t>
        </is>
      </c>
      <c r="B44" s="54">
        <f>IFERROR(B43/Projections!O7,0)</f>
        <v>0.19565092125782249</v>
      </c>
      <c r="C44" s="54">
        <f>IFERROR(C43/Projections!O7,0)</f>
        <v>0.1843219563091677</v>
      </c>
      <c r="D44" s="54">
        <f>IFERROR(D43/Projections!O7,0)</f>
        <v>0.17299299136051288</v>
      </c>
      <c r="E44" s="54">
        <f>IFERROR(E43/Projections!O7,0)</f>
        <v>0.16166402641185806</v>
      </c>
      <c r="F44" s="54">
        <f>IFERROR(F43/Projections!O7,0)</f>
        <v>0.13900609651454846</v>
      </c>
    </row>
    <row r="45"/>
    <row r="46" ht="15" customHeight="1">
      <c r="A46" s="46" t="inlineStr">
        <is>
          <t>6. SCENARIO SENSITIVITY — REVENUE, GROSS PROFIT, EBITDA &amp; DSCR</t>
        </is>
      </c>
      <c r="B46" s="46" t="n"/>
      <c r="C46" s="46" t="n"/>
      <c r="D46" s="46" t="n"/>
      <c r="E46" s="46" t="n"/>
      <c r="F46" s="46" t="n"/>
      <c r="G46" s="46" t="n"/>
    </row>
    <row r="47" ht="15" customHeight="1">
      <c r="A47" s="55" t="inlineStr">
        <is>
          <t>Recomputes the Year-1 and Year-5 P&amp;L using each scenario’s own Worst/Base/Best growth, attrition, cost-inflation and efficiency inputs from the Assumptions tab (independent of the active scenario selector).</t>
        </is>
      </c>
    </row>
    <row r="48"/>
    <row r="49" ht="15" customHeight="1">
      <c r="A49" s="44" t="inlineStr">
        <is>
          <t>Year 1 — by Scenario</t>
        </is>
      </c>
    </row>
    <row r="50" ht="15" customHeight="1">
      <c r="A50" s="47" t="n"/>
      <c r="B50" s="48" t="inlineStr">
        <is>
          <t>Worst</t>
        </is>
      </c>
      <c r="C50" s="48" t="inlineStr">
        <is>
          <t>Base</t>
        </is>
      </c>
      <c r="D50" s="48" t="inlineStr">
        <is>
          <t>Best</t>
        </is>
      </c>
    </row>
    <row r="51" ht="15" customHeight="1">
      <c r="A51" s="51" t="inlineStr">
        <is>
          <t>Net Revenue</t>
        </is>
      </c>
      <c r="B51" s="56">
        <f>Assumptions!E50*(1+Assumptions!B52+Assumptions!B53-Assumptions!B51)</f>
        <v>942673.25999999989</v>
      </c>
      <c r="C51" s="56">
        <f>Assumptions!E50*(1+Assumptions!C52+Assumptions!C53-Assumptions!C51)</f>
        <v>985093.55669999984</v>
      </c>
      <c r="D51" s="56">
        <f>Assumptions!E50*(1+Assumptions!D52+Assumptions!D53-Assumptions!D51)</f>
        <v>1027513.8533999999</v>
      </c>
    </row>
    <row r="52" ht="15" customHeight="1">
      <c r="A52" s="49" t="inlineStr">
        <is>
          <t>Direct Labor — % of Net Revenue</t>
        </is>
      </c>
      <c r="B52" s="54">
        <f>Assumptions!E59+Assumptions!B60</f>
        <v>0.39256167911244244</v>
      </c>
      <c r="C52" s="54">
        <f>Assumptions!E59+Assumptions!C60</f>
        <v>0.30756167911244248</v>
      </c>
      <c r="D52" s="54">
        <f>Assumptions!E59+Assumptions!D60</f>
        <v>0.28756167911244246</v>
      </c>
    </row>
    <row r="53" ht="15" customHeight="1">
      <c r="A53" s="49" t="inlineStr">
        <is>
          <t>Direct Labor</t>
        </is>
      </c>
      <c r="B53" s="50">
        <f>B51*B52</f>
        <v>370057.39779999998</v>
      </c>
      <c r="C53" s="50">
        <f>C51*C52</f>
        <v>302977.02838149999</v>
      </c>
      <c r="D53" s="50">
        <f>D51*D52</f>
        <v>295473.60899500002</v>
      </c>
    </row>
    <row r="54" ht="15" customHeight="1">
      <c r="A54" s="51" t="inlineStr">
        <is>
          <t>Gross Profit</t>
        </is>
      </c>
      <c r="B54" s="52">
        <f>B51-B53</f>
        <v>572615.86219999986</v>
      </c>
      <c r="C54" s="52">
        <f>C51-C53</f>
        <v>682116.52831849991</v>
      </c>
      <c r="D54" s="52">
        <f>D51-D53</f>
        <v>732040.24440499989</v>
      </c>
    </row>
    <row r="55" ht="15" customHeight="1">
      <c r="A55" s="49" t="inlineStr">
        <is>
          <t>Marketing</t>
        </is>
      </c>
      <c r="B55" s="50">
        <f>Assumptions!E64*(1+Assumptions!B66)</f>
        <v>58556.263500000001</v>
      </c>
      <c r="C55" s="50">
        <f>Assumptions!E64*(1+Assumptions!C66)</f>
        <v>56010.339000000007</v>
      </c>
      <c r="D55" s="50">
        <f>Assumptions!E64*(1+Assumptions!D66)</f>
        <v>52955.229600000006</v>
      </c>
    </row>
    <row r="56" ht="15" customHeight="1">
      <c r="A56" s="49" t="inlineStr">
        <is>
          <t>Indirect Labor — Existing Team</t>
        </is>
      </c>
      <c r="B56" s="50">
        <f>Assumptions!E72*(1+Assumptions!B73)</f>
        <v>252522.24899999995</v>
      </c>
      <c r="C56" s="50">
        <f>Assumptions!E72*(1+Assumptions!C73)</f>
        <v>248914.78829999993</v>
      </c>
      <c r="D56" s="50">
        <f>Assumptions!E72*(1+Assumptions!D73)</f>
        <v>246509.81449999992</v>
      </c>
    </row>
    <row r="57" ht="15" customHeight="1">
      <c r="A57" s="49" t="inlineStr">
        <is>
          <t>Owner Compensation (New)</t>
        </is>
      </c>
      <c r="B57" s="50">
        <f>Assumptions!E74</f>
        <v>72000</v>
      </c>
      <c r="C57" s="50">
        <f>Assumptions!E74</f>
        <v>72000</v>
      </c>
      <c r="D57" s="50">
        <f>Assumptions!E74</f>
        <v>72000</v>
      </c>
    </row>
    <row r="58" ht="15" customHeight="1">
      <c r="A58" s="49" t="inlineStr">
        <is>
          <t>Additional Hire Compensation (New)</t>
        </is>
      </c>
      <c r="B58" s="50">
        <f>Assumptions!E75</f>
        <v>0</v>
      </c>
      <c r="C58" s="50">
        <f>Assumptions!E75</f>
        <v>0</v>
      </c>
      <c r="D58" s="50">
        <f>Assumptions!E75</f>
        <v>0</v>
      </c>
    </row>
    <row r="59" ht="15" customHeight="1">
      <c r="A59" s="49" t="inlineStr">
        <is>
          <t>Payroll Tax on New Positions</t>
        </is>
      </c>
      <c r="B59" s="50">
        <f>(B57+B58)*Assumptions!E76</f>
        <v>6048</v>
      </c>
      <c r="C59" s="50">
        <f>(C57+C58)*Assumptions!E76</f>
        <v>6048</v>
      </c>
      <c r="D59" s="50">
        <f>(D57+D58)*Assumptions!E76</f>
        <v>6048</v>
      </c>
    </row>
    <row r="60" ht="15" customHeight="1">
      <c r="A60" s="51" t="inlineStr">
        <is>
          <t>Total Indirect Labor</t>
        </is>
      </c>
      <c r="B60" s="52">
        <f>B56+B57+B58+B59</f>
        <v>330570.24899999995</v>
      </c>
      <c r="C60" s="52">
        <f>C56+C57+C58+C59</f>
        <v>326962.7882999999</v>
      </c>
      <c r="D60" s="52">
        <f>D56+D57+D58+D59</f>
        <v>324557.81449999992</v>
      </c>
    </row>
    <row r="61" ht="15" customHeight="1">
      <c r="A61" s="49" t="inlineStr">
        <is>
          <t>Software &amp; Systems</t>
        </is>
      </c>
      <c r="B61" s="50">
        <f>Assumptions!E80*(1+Assumptions!B82)</f>
        <v>46766.093000000008</v>
      </c>
      <c r="C61" s="50">
        <f>Assumptions!E80*(1+Assumptions!C82)</f>
        <v>44640.361500000006</v>
      </c>
      <c r="D61" s="50">
        <f>Assumptions!E80*(1+Assumptions!D82)</f>
        <v>43790.068900000006</v>
      </c>
    </row>
    <row r="62" ht="15" customHeight="1">
      <c r="A62" s="49" t="inlineStr">
        <is>
          <t>General &amp; Administrative</t>
        </is>
      </c>
      <c r="B62" s="50">
        <f>Assumptions!E87*(1+Assumptions!B90)</f>
        <v>42113.987999999998</v>
      </c>
      <c r="C62" s="50">
        <f>Assumptions!E87*(1+Assumptions!C90)</f>
        <v>41311.816800000001</v>
      </c>
      <c r="D62" s="50">
        <f>Assumptions!E87*(1+Assumptions!D90)</f>
        <v>40910.731199999995</v>
      </c>
    </row>
    <row r="63" ht="15" customHeight="1">
      <c r="A63" s="49" t="inlineStr">
        <is>
          <t>Fees &amp; Charges</t>
        </is>
      </c>
      <c r="B63" s="50">
        <f>B51*Assumptions!E89</f>
        <v>30255.360000000004</v>
      </c>
      <c r="C63" s="50">
        <f>C51*Assumptions!E89</f>
        <v>31616.851200000001</v>
      </c>
      <c r="D63" s="50">
        <f>D51*Assumptions!E89</f>
        <v>32978.342400000001</v>
      </c>
    </row>
    <row r="64" ht="15" customHeight="1">
      <c r="A64" s="51" t="inlineStr">
        <is>
          <t>Total Operating Expenses</t>
        </is>
      </c>
      <c r="B64" s="52">
        <f>B55+B60+B61+B62+B63</f>
        <v>508261.95349999995</v>
      </c>
      <c r="C64" s="52">
        <f>C55+C60+C61+C62+C63</f>
        <v>500542.15679999994</v>
      </c>
      <c r="D64" s="52">
        <f>D55+D60+D61+D62+D63</f>
        <v>495192.18659999996</v>
      </c>
    </row>
    <row r="65" ht="15" customHeight="1">
      <c r="A65" s="51" t="inlineStr">
        <is>
          <t>EBITDA</t>
        </is>
      </c>
      <c r="B65" s="52">
        <f>B54-B64</f>
        <v>64353.908699999913</v>
      </c>
      <c r="C65" s="52">
        <f>C54-C64</f>
        <v>181574.37151849997</v>
      </c>
      <c r="D65" s="52">
        <f>D54-D64</f>
        <v>236848.05780499993</v>
      </c>
    </row>
    <row r="66" ht="15" customHeight="1">
      <c r="A66" s="49" t="inlineStr">
        <is>
          <t>Total Debt Service (Fixed by Loan Terms)</t>
        </is>
      </c>
      <c r="B66" s="50">
        <f>Projections!O31+Projections!O32+Projections!O126+Projections!O134</f>
        <v>90781.658668462478</v>
      </c>
      <c r="C66" s="50">
        <f>Projections!O31+Projections!O32+Projections!O126+Projections!O134</f>
        <v>90781.658668462478</v>
      </c>
      <c r="D66" s="50">
        <f>Projections!O31+Projections!O32+Projections!O126+Projections!O134</f>
        <v>90781.658668462478</v>
      </c>
    </row>
    <row r="67" ht="15" customHeight="1">
      <c r="A67" s="51" t="inlineStr">
        <is>
          <t>DSCR</t>
        </is>
      </c>
      <c r="B67" s="82">
        <f>IFERROR(B65/B66,0)</f>
        <v>0.70888668089908391</v>
      </c>
      <c r="C67" s="82">
        <f>IFERROR(C65/C66,0)</f>
        <v>2.0001217666843409</v>
      </c>
      <c r="D67" s="82">
        <f>IFERROR(D65/D66,0)</f>
        <v>2.6089857938152092</v>
      </c>
    </row>
    <row r="68"/>
    <row r="69" ht="15" customHeight="1">
      <c r="A69" s="44" t="inlineStr">
        <is>
          <t>Year 5 — by Scenario</t>
        </is>
      </c>
    </row>
    <row r="70" ht="15" customHeight="1">
      <c r="A70" s="47" t="n"/>
      <c r="B70" s="48" t="inlineStr">
        <is>
          <t>Worst</t>
        </is>
      </c>
      <c r="C70" s="48" t="inlineStr">
        <is>
          <t>Base</t>
        </is>
      </c>
      <c r="D70" s="48" t="inlineStr">
        <is>
          <t>Best</t>
        </is>
      </c>
    </row>
    <row r="71" ht="15" customHeight="1">
      <c r="A71" s="51" t="inlineStr">
        <is>
          <t>Net Revenue</t>
        </is>
      </c>
      <c r="B71" s="56">
        <f>Assumptions!E50*(1+Assumptions!B52+Assumptions!B53-Assumptions!B51)^5</f>
        <v>942673.25999999989</v>
      </c>
      <c r="C71" s="56">
        <f>Assumptions!E50*(1+Assumptions!C52+Assumptions!C53-Assumptions!C51)^5</f>
        <v>1174742.3897205875</v>
      </c>
      <c r="D71" s="56">
        <f>Assumptions!E50*(1+Assumptions!D52+Assumptions!D53-Assumptions!D51)^5</f>
        <v>1450419.6594796763</v>
      </c>
    </row>
    <row r="72" ht="15" customHeight="1">
      <c r="A72" s="49" t="inlineStr">
        <is>
          <t>Direct Labor — % of Net Revenue (Steady-State)</t>
        </is>
      </c>
      <c r="B72" s="54">
        <f>Assumptions!E59</f>
        <v>0.36256167911244247</v>
      </c>
      <c r="C72" s="54">
        <f>Assumptions!E59</f>
        <v>0.36256167911244247</v>
      </c>
      <c r="D72" s="54">
        <f>Assumptions!E59</f>
        <v>0.36256167911244247</v>
      </c>
    </row>
    <row r="73" ht="15" customHeight="1">
      <c r="A73" s="49" t="inlineStr">
        <is>
          <t>Direct Labor</t>
        </is>
      </c>
      <c r="B73" s="50">
        <f>B71*B72</f>
        <v>341777.20000000001</v>
      </c>
      <c r="C73" s="50">
        <f>C71*C72</f>
        <v>425916.5733416595</v>
      </c>
      <c r="D73" s="50">
        <f>D71*D72</f>
        <v>525866.58715864841</v>
      </c>
    </row>
    <row r="74" ht="15" customHeight="1">
      <c r="A74" s="51" t="inlineStr">
        <is>
          <t>Gross Profit</t>
        </is>
      </c>
      <c r="B74" s="52">
        <f>B71-B73</f>
        <v>600896.05999999982</v>
      </c>
      <c r="C74" s="52">
        <f>C71-C73</f>
        <v>748825.81637892802</v>
      </c>
      <c r="D74" s="52">
        <f>D71-D73</f>
        <v>924553.07232102787</v>
      </c>
    </row>
    <row r="75" ht="15" customHeight="1">
      <c r="A75" s="49" t="inlineStr">
        <is>
          <t>Marketing</t>
        </is>
      </c>
      <c r="B75" s="50">
        <f>Assumptions!E64*(1+Assumptions!B66)^5</f>
        <v>102415.27083814685</v>
      </c>
      <c r="C75" s="50">
        <f>Assumptions!E64*(1+Assumptions!C66)^5</f>
        <v>82004.737329900032</v>
      </c>
      <c r="D75" s="50">
        <f>Assumptions!E64*(1+Assumptions!D66)^5</f>
        <v>61950.128644325399</v>
      </c>
    </row>
    <row r="76" ht="15" customHeight="1">
      <c r="A76" s="49" t="inlineStr">
        <is>
          <t>Indirect Labor — Existing Team</t>
        </is>
      </c>
      <c r="B76" s="50">
        <f>Assumptions!E72*(1+Assumptions!B73)^5</f>
        <v>306942.3719235562</v>
      </c>
      <c r="C76" s="50">
        <f>Assumptions!E72*(1+Assumptions!C73)^5</f>
        <v>285635.44476995245</v>
      </c>
      <c r="D76" s="50">
        <f>Assumptions!E72*(1+Assumptions!D73)^5</f>
        <v>272100.71091067739</v>
      </c>
    </row>
    <row r="77" ht="15" customHeight="1">
      <c r="A77" s="49" t="inlineStr">
        <is>
          <t>Owner Compensation (New)</t>
        </is>
      </c>
      <c r="B77" s="50">
        <f>Assumptions!E74*(1+Assumptions!B73)^4</f>
        <v>87516.449999999997</v>
      </c>
      <c r="C77" s="50">
        <f>Assumptions!E74*(1+Assumptions!C73)^4</f>
        <v>82621.656044999982</v>
      </c>
      <c r="D77" s="50">
        <f>Assumptions!E74*(1+Assumptions!D73)^4</f>
        <v>79474.528124999983</v>
      </c>
    </row>
    <row r="78" ht="15" customHeight="1">
      <c r="A78" s="49" t="inlineStr">
        <is>
          <t>Additional Hire Compensation (New)</t>
        </is>
      </c>
      <c r="B78" s="50">
        <f>Assumptions!E75*(1+Assumptions!B73)^4</f>
        <v>0</v>
      </c>
      <c r="C78" s="50">
        <f>Assumptions!E75*(1+Assumptions!C73)^4</f>
        <v>0</v>
      </c>
      <c r="D78" s="50">
        <f>Assumptions!E75*(1+Assumptions!D73)^4</f>
        <v>0</v>
      </c>
    </row>
    <row r="79" ht="15" customHeight="1">
      <c r="A79" s="49" t="inlineStr">
        <is>
          <t>Payroll Tax on New Positions</t>
        </is>
      </c>
      <c r="B79" s="50">
        <f>(B77+B78)*Assumptions!E76</f>
        <v>7351.3818000000001</v>
      </c>
      <c r="C79" s="50">
        <f>(C77+C78)*Assumptions!E76</f>
        <v>6940.2191077799989</v>
      </c>
      <c r="D79" s="50">
        <f>(D77+D78)*Assumptions!E76</f>
        <v>6675.8603624999987</v>
      </c>
    </row>
    <row r="80" ht="15" customHeight="1">
      <c r="A80" s="51" t="inlineStr">
        <is>
          <t>Total Indirect Labor</t>
        </is>
      </c>
      <c r="B80" s="52">
        <f>B76+B77+B78+B79</f>
        <v>401810.20372355619</v>
      </c>
      <c r="C80" s="52">
        <f>C76+C77+C78+C79</f>
        <v>375197.31992273242</v>
      </c>
      <c r="D80" s="52">
        <f>D76+D77+D78+D79</f>
        <v>358251.09939817741</v>
      </c>
    </row>
    <row r="81" ht="15" customHeight="1">
      <c r="A81" s="49" t="inlineStr">
        <is>
          <t>Software &amp; Systems</t>
        </is>
      </c>
      <c r="B81" s="50">
        <f>Assumptions!E80*(1+Assumptions!B82)^5</f>
        <v>68470.236761300024</v>
      </c>
      <c r="C81" s="50">
        <f>Assumptions!E80*(1+Assumptions!C82)^5</f>
        <v>54260.638405509388</v>
      </c>
      <c r="D81" s="50">
        <f>Assumptions!E80*(1+Assumptions!D82)^5</f>
        <v>49286.108337457008</v>
      </c>
    </row>
    <row r="82" ht="15" customHeight="1">
      <c r="A82" s="49" t="inlineStr">
        <is>
          <t>General &amp; Administrative</t>
        </is>
      </c>
      <c r="B82" s="50">
        <f>Assumptions!E87*(1+Assumptions!B90)^5</f>
        <v>51189.815626424999</v>
      </c>
      <c r="C82" s="50">
        <f>Assumptions!E87*(1+Assumptions!C90)^5</f>
        <v>46496.813765505998</v>
      </c>
      <c r="D82" s="50">
        <f>Assumptions!E87*(1+Assumptions!D90)^5</f>
        <v>44283.091139995391</v>
      </c>
    </row>
    <row r="83" ht="15" customHeight="1">
      <c r="A83" s="49" t="inlineStr">
        <is>
          <t>Fees &amp; Charges</t>
        </is>
      </c>
      <c r="B83" s="50">
        <f>B71*Assumptions!E89</f>
        <v>30255.360000000004</v>
      </c>
      <c r="C83" s="50">
        <f>C71*Assumptions!E89</f>
        <v>37703.683149192839</v>
      </c>
      <c r="D83" s="50">
        <f>D71*Assumptions!E89</f>
        <v>46551.621660123281</v>
      </c>
    </row>
    <row r="84" ht="15" customHeight="1">
      <c r="A84" s="51" t="inlineStr">
        <is>
          <t>Total Operating Expenses</t>
        </is>
      </c>
      <c r="B84" s="52">
        <f>B75+B80+B81+B82+B83</f>
        <v>654140.88694942801</v>
      </c>
      <c r="C84" s="52">
        <f>C75+C80+C81+C82+C83</f>
        <v>595663.19257284072</v>
      </c>
      <c r="D84" s="52">
        <f>D75+D80+D81+D82+D83</f>
        <v>560322.04918007844</v>
      </c>
    </row>
    <row r="85" ht="15" customHeight="1">
      <c r="A85" s="51" t="inlineStr">
        <is>
          <t>EBITDA</t>
        </is>
      </c>
      <c r="B85" s="52">
        <f>B74-B84</f>
        <v>-53244.826949428185</v>
      </c>
      <c r="C85" s="52">
        <f>C74-C84</f>
        <v>153162.6238060873</v>
      </c>
      <c r="D85" s="52">
        <f>D74-D84</f>
        <v>364231.02314094943</v>
      </c>
    </row>
    <row r="86" ht="15" customHeight="1">
      <c r="A86" s="49" t="inlineStr">
        <is>
          <t>Total Debt Service (Fixed by Loan Terms)</t>
        </is>
      </c>
      <c r="B86" s="50">
        <f>Projections!BO31+Projections!BO32+Projections!BO126+Projections!BO134</f>
        <v>90781.658668462464</v>
      </c>
      <c r="C86" s="50">
        <f>Projections!BO31+Projections!BO32+Projections!BO126+Projections!BO134</f>
        <v>90781.658668462464</v>
      </c>
      <c r="D86" s="50">
        <f>Projections!BO31+Projections!BO32+Projections!BO126+Projections!BO134</f>
        <v>90781.658668462464</v>
      </c>
    </row>
    <row r="87" ht="15" customHeight="1">
      <c r="A87" s="51" t="inlineStr">
        <is>
          <t>DSCR</t>
        </is>
      </c>
      <c r="B87" s="82">
        <f>IFERROR(B85/B86,0)</f>
        <v>-0.58651524691656054</v>
      </c>
      <c r="C87" s="82">
        <f>IFERROR(C85/C86,0)</f>
        <v>1.6871538375988715</v>
      </c>
      <c r="D87" s="82">
        <f>IFERROR(D85/D86,0)</f>
        <v>4.0121653259402636</v>
      </c>
    </row>
    <row r="88"/>
    <row r="89" ht="15" customHeight="1">
      <c r="A89" s="44" t="inlineStr">
        <is>
          <t>Sensitivity Summary — Revenue, Gross Profit, EBITDA &amp; DSCR</t>
        </is>
      </c>
    </row>
    <row r="90" ht="15" customHeight="1">
      <c r="A90" s="47" t="n"/>
      <c r="B90" s="48" t="inlineStr">
        <is>
          <t>Worst</t>
        </is>
      </c>
      <c r="C90" s="48" t="inlineStr">
        <is>
          <t>Base</t>
        </is>
      </c>
      <c r="D90" s="48" t="inlineStr">
        <is>
          <t>Best</t>
        </is>
      </c>
    </row>
    <row r="91" ht="15" customHeight="1">
      <c r="A91" s="67" t="inlineStr">
        <is>
          <t>Year 1</t>
        </is>
      </c>
    </row>
    <row r="92" ht="15" customHeight="1">
      <c r="A92" s="49" t="inlineStr">
        <is>
          <t>Net Revenue</t>
        </is>
      </c>
      <c r="B92" s="50">
        <f>B51</f>
        <v>942673.25999999989</v>
      </c>
      <c r="C92" s="50">
        <f>C51</f>
        <v>985093.55669999984</v>
      </c>
      <c r="D92" s="50">
        <f>D51</f>
        <v>1027513.8533999999</v>
      </c>
    </row>
    <row r="93" ht="15" customHeight="1">
      <c r="A93" s="49" t="inlineStr">
        <is>
          <t>Gross Profit</t>
        </is>
      </c>
      <c r="B93" s="50">
        <f>B54</f>
        <v>572615.86219999986</v>
      </c>
      <c r="C93" s="50">
        <f>C54</f>
        <v>682116.52831849991</v>
      </c>
      <c r="D93" s="50">
        <f>D54</f>
        <v>732040.24440499989</v>
      </c>
    </row>
    <row r="94" ht="15" customHeight="1">
      <c r="A94" s="51" t="inlineStr">
        <is>
          <t>EBITDA</t>
        </is>
      </c>
      <c r="B94" s="56">
        <f>B65</f>
        <v>64353.908699999913</v>
      </c>
      <c r="C94" s="56">
        <f>C65</f>
        <v>181574.37151849997</v>
      </c>
      <c r="D94" s="56">
        <f>D65</f>
        <v>236848.05780499993</v>
      </c>
    </row>
    <row r="95" ht="15" customHeight="1">
      <c r="A95" s="51" t="inlineStr">
        <is>
          <t>DSCR</t>
        </is>
      </c>
      <c r="B95" s="82">
        <f>B67</f>
        <v>0.70888668089908391</v>
      </c>
      <c r="C95" s="82">
        <f>C67</f>
        <v>2.0001217666843409</v>
      </c>
      <c r="D95" s="82">
        <f>D67</f>
        <v>2.6089857938152092</v>
      </c>
    </row>
    <row r="96"/>
    <row r="97" ht="15" customHeight="1">
      <c r="A97" s="67" t="inlineStr">
        <is>
          <t>Year 5</t>
        </is>
      </c>
    </row>
    <row r="98" ht="15" customHeight="1">
      <c r="A98" s="49" t="inlineStr">
        <is>
          <t>Net Revenue</t>
        </is>
      </c>
      <c r="B98" s="50">
        <f>B71</f>
        <v>942673.25999999989</v>
      </c>
      <c r="C98" s="50">
        <f>C71</f>
        <v>1174742.3897205875</v>
      </c>
      <c r="D98" s="50">
        <f>D71</f>
        <v>1450419.6594796763</v>
      </c>
    </row>
    <row r="99" ht="15" customHeight="1">
      <c r="A99" s="49" t="inlineStr">
        <is>
          <t>Gross Profit</t>
        </is>
      </c>
      <c r="B99" s="50">
        <f>B74</f>
        <v>600896.05999999982</v>
      </c>
      <c r="C99" s="50">
        <f>C74</f>
        <v>748825.81637892802</v>
      </c>
      <c r="D99" s="50">
        <f>D74</f>
        <v>924553.07232102787</v>
      </c>
    </row>
    <row r="100" ht="15" customHeight="1">
      <c r="A100" s="51" t="inlineStr">
        <is>
          <t>EBITDA</t>
        </is>
      </c>
      <c r="B100" s="56">
        <f>B85</f>
        <v>-53244.826949428185</v>
      </c>
      <c r="C100" s="56">
        <f>C85</f>
        <v>153162.6238060873</v>
      </c>
      <c r="D100" s="56">
        <f>D85</f>
        <v>364231.02314094943</v>
      </c>
    </row>
    <row r="101" ht="15" customHeight="1">
      <c r="A101" s="51" t="inlineStr">
        <is>
          <t>DSCR</t>
        </is>
      </c>
      <c r="B101" s="82">
        <f>B87</f>
        <v>-0.58651524691656054</v>
      </c>
      <c r="C101" s="82">
        <f>C87</f>
        <v>1.6871538375988715</v>
      </c>
      <c r="D101" s="82">
        <f>D87</f>
        <v>4.0121653259402636</v>
      </c>
    </row>
    <row r="102"/>
    <row r="103" ht="15" customHeight="1">
      <c r="A103" s="46" t="inlineStr">
        <is>
          <t>7. RETURNS — IRR, NPV, BREAKEVEN &amp; CASH-ON-CASH (ACTIVE SCENARIO)</t>
        </is>
      </c>
      <c r="B103" s="46" t="n"/>
      <c r="C103" s="46" t="n"/>
      <c r="D103" s="46" t="n"/>
      <c r="E103" s="46" t="n"/>
      <c r="F103" s="46" t="n"/>
      <c r="G103" s="46" t="n"/>
    </row>
    <row r="104" ht="15" customHeight="1">
      <c r="A104" s="90" t="inlineStr">
        <is>
          <t>Assumes no interim owner distributions beyond the assumed tax distribution</t>
        </is>
      </c>
    </row>
    <row r="105"/>
    <row r="106" ht="15" customHeight="1">
      <c r="A106" s="44" t="inlineStr">
        <is>
          <t>Equity Cash-Flow Stream for IRR / NPV</t>
        </is>
      </c>
    </row>
    <row r="107" ht="15" customHeight="1">
      <c r="A107" s="47" t="n"/>
      <c r="B107" s="48" t="inlineStr">
        <is>
          <t>At Close</t>
        </is>
      </c>
      <c r="C107" s="48" t="inlineStr">
        <is>
          <t>Year 1</t>
        </is>
      </c>
      <c r="D107" s="48" t="inlineStr">
        <is>
          <t>Year 2</t>
        </is>
      </c>
      <c r="E107" s="48" t="inlineStr">
        <is>
          <t>Year 3</t>
        </is>
      </c>
      <c r="F107" s="48" t="inlineStr">
        <is>
          <t>Year 4</t>
        </is>
      </c>
      <c r="G107" s="48" t="inlineStr">
        <is>
          <t>Year 5</t>
        </is>
      </c>
    </row>
    <row r="108" ht="15" customHeight="1">
      <c r="A108" s="83" t="inlineStr">
        <is>
          <t>Memo: Year-5 Exit Equity Value (Debt-Free, Cash-Adjusted)</t>
        </is>
      </c>
      <c r="C108" s="50">
        <f>Projections!O162-(Projections!BO54+Projections!BO55-Projections!BO46)</f>
        <v>1583257.3889681145</v>
      </c>
    </row>
    <row r="109" ht="15" customHeight="1">
      <c r="A109" s="67" t="inlineStr">
        <is>
          <t>Buyer Equity Cash Flow</t>
        </is>
      </c>
      <c r="B109" s="52">
        <f>+Assumptions!E41</f>
        <v>60300</v>
      </c>
      <c r="C109" s="52">
        <f>0</f>
        <v>0</v>
      </c>
      <c r="D109" s="52">
        <f>0</f>
        <v>0</v>
      </c>
      <c r="E109" s="52">
        <f>0</f>
        <v>0</v>
      </c>
      <c r="F109" s="52">
        <f>0</f>
        <v>0</v>
      </c>
      <c r="G109" s="52">
        <f>C108</f>
        <v>1583257.3889681145</v>
      </c>
    </row>
    <row r="110"/>
    <row r="111" ht="15" customHeight="1">
      <c r="A111" s="60" t="inlineStr">
        <is>
          <t>IRR (5-Year Hold)</t>
        </is>
      </c>
      <c r="C111" s="57" t="str">
        <f>IFERROR(IRR(B109:G109),"n/m")</f>
        <v>n/m</v>
      </c>
    </row>
    <row r="112" ht="15" customHeight="1">
      <c r="A112" s="60" t="inlineStr">
        <is>
          <t>NPV at Discount Rate</t>
        </is>
      </c>
      <c r="C112" s="56">
        <f>NPV(Assumptions!E114,C109:G109)+B109</f>
        <v>979007.34091100504</v>
      </c>
    </row>
    <row r="113"/>
    <row r="114" ht="15" customHeight="1">
      <c r="A114" s="44" t="inlineStr">
        <is>
          <t>Months to Cash Breakeven</t>
        </is>
      </c>
    </row>
    <row r="115" ht="15" customHeight="1">
      <c r="A115" s="90" t="inlineStr">
        <is>
          <t>Defined as the point at which cumulative post-close cash flow - business stops drawing down its opening working-capital buffer.</t>
        </is>
      </c>
    </row>
    <row r="116" ht="15" customHeight="1">
      <c r="A116" s="84" t="inlineStr">
        <is>
          <t>Cumulative Net Change in Cash — Year 1</t>
        </is>
      </c>
      <c r="C116" s="50">
        <f>Projections!O87</f>
        <v>82004.520630762534</v>
      </c>
    </row>
    <row r="117" ht="15" customHeight="1">
      <c r="A117" s="84" t="inlineStr">
        <is>
          <t>Cumulative Net Change in Cash — Year 2</t>
        </is>
      </c>
      <c r="C117" s="50">
        <f>C116+Projections!AB87</f>
        <v>118100.62783120672</v>
      </c>
    </row>
    <row r="118" ht="15" customHeight="1">
      <c r="A118" s="84" t="inlineStr">
        <is>
          <t>Cumulative Net Change in Cash — Year 3</t>
        </is>
      </c>
      <c r="C118" s="50">
        <f>C117+Projections!AO87</f>
        <v>159089.06383679522</v>
      </c>
    </row>
    <row r="119" ht="15" customHeight="1">
      <c r="A119" s="84" t="inlineStr">
        <is>
          <t>Cumulative Net Change in Cash — Year 4</t>
        </is>
      </c>
      <c r="C119" s="50">
        <f>C118+Projections!BB87</f>
        <v>204980.36206293548</v>
      </c>
    </row>
    <row r="120" ht="15" customHeight="1">
      <c r="A120" s="84" t="inlineStr">
        <is>
          <t>Cumulative Net Change in Cash — Year 5</t>
        </is>
      </c>
      <c r="C120" s="50">
        <f>C119+Projections!BO87</f>
        <v>255757.52546456896</v>
      </c>
    </row>
    <row r="121" ht="15" customHeight="1">
      <c r="A121" s="60" t="inlineStr">
        <is>
          <t>Months to Cash Breakeven</t>
        </is>
      </c>
      <c r="C121" s="85">
        <f>IF(C116&gt;=0,0,IF(C117&gt;=0,12+12*(-C116)/Projections!AB87,IF(C118&gt;=0,24+12*(-C117)/Projections!AO87,IF(C119&gt;=0,36+12*(-C118)/Projections!BB87,IF(C120&gt;=0,48+12*(-C119)/Projections!BO87,"Beyond 5-Yr Horizon")))))</f>
        <v>0</v>
      </c>
    </row>
    <row r="122"/>
    <row r="123" ht="15" customHeight="1">
      <c r="A123" s="44" t="inlineStr">
        <is>
          <t>Cash-on-Cash Return</t>
        </is>
      </c>
    </row>
    <row r="124" ht="15" customHeight="1">
      <c r="A124" s="60" t="inlineStr">
        <is>
          <t>Cash-on-Cash Return — Year 1</t>
        </is>
      </c>
      <c r="C124" s="57">
        <f>IFERROR(Projections!O87/Assumptions!#REF!,0)</f>
        <v>0</v>
      </c>
    </row>
    <row r="125" ht="15" customHeight="1">
      <c r="A125" s="60" t="inlineStr">
        <is>
          <t>Cash-on-Cash Return — 5-Year Average</t>
        </is>
      </c>
      <c r="C125" s="57">
        <f>IFERROR(AVERAGE(Projections!O87,Projections!AB87,Projections!AO87,Projections!BB87,Projections!BO87)/Assumptions!#REF!,0)</f>
        <v>0</v>
      </c>
    </row>
    <row r="126"/>
    <row r="127" ht="15" customHeight="1">
      <c r="A127" s="46" t="inlineStr">
        <is>
          <t>8. LIKELIHOOD OF SUCCESS BY SCENARIO</t>
        </is>
      </c>
      <c r="B127" s="46" t="n"/>
      <c r="C127" s="46" t="n"/>
      <c r="D127" s="46" t="n"/>
      <c r="E127" s="46" t="n"/>
      <c r="F127" s="46" t="n"/>
      <c r="G127" s="46" t="n"/>
    </row>
    <row r="128" ht="15" customHeight="1">
      <c r="A128" s="55" t="n"/>
    </row>
    <row r="129"/>
    <row r="130" ht="15" customHeight="1">
      <c r="A130" s="47" t="n"/>
      <c r="B130" s="48" t="inlineStr">
        <is>
          <t>Worst</t>
        </is>
      </c>
      <c r="C130" s="48" t="inlineStr">
        <is>
          <t>Base</t>
        </is>
      </c>
      <c r="D130" s="48" t="inlineStr">
        <is>
          <t>Best</t>
        </is>
      </c>
    </row>
    <row r="131" ht="15" customHeight="1">
      <c r="A131" s="74" t="inlineStr">
        <is>
          <t>Year-1 DSCR</t>
        </is>
      </c>
      <c r="B131" s="82">
        <f>B67</f>
        <v>0.70888668089908391</v>
      </c>
      <c r="C131" s="82">
        <f>C67</f>
        <v>2.0001217666843409</v>
      </c>
      <c r="D131" s="82">
        <f>D67</f>
        <v>2.6089857938152092</v>
      </c>
    </row>
    <row r="132" ht="30" customHeight="1">
      <c r="A132" s="74" t="inlineStr">
        <is>
          <t>Risk Rating</t>
        </is>
      </c>
      <c r="B132" s="86" t="str">
        <f>IF(B131&gt;=1.25,"Strong — Bankable (DSCR ≥ 1.25x)",IF(B131&gt;=1.15,"Adequate — Meets SBA Minimum (1.15x–1.25x)",IF(B131&gt;=1,"Thin — Below Typical SBA Target (1.00x–1.15x)","Insufficient — Cash Flow Does Not Cover Debt Service (&lt;1.00x)")))</f>
        <v>Insufficient — Cash Flow Does Not Cover Debt Service (&lt;1.00x)</v>
      </c>
      <c r="C132" s="86" t="str">
        <f>IF(C131&gt;=1.25,"Strong — Bankable (DSCR ≥ 1.25x)",IF(C131&gt;=1.15,"Adequate — Meets SBA Minimum (1.15x–1.25x)",IF(C131&gt;=1,"Thin — Below Typical SBA Target (1.00x–1.15x)","Insufficient — Cash Flow Does Not Cover Debt Service (&lt;1.00x)")))</f>
        <v>Strong — Bankable (DSCR ≥ 1.25x)</v>
      </c>
      <c r="D132" s="86" t="str">
        <f>IF(D131&gt;=1.25,"Strong — Bankable (DSCR ≥ 1.25x)",IF(D131&gt;=1.15,"Adequate — Meets SBA Minimum (1.15x–1.25x)",IF(D131&gt;=1,"Thin — Below Typical SBA Target (1.00x–1.15x)","Insufficient — Cash Flow Does Not Cover Debt Service (&lt;1.00x)")))</f>
        <v>Strong — Bankable (DSCR ≥ 1.25x)</v>
      </c>
    </row>
    <row r="133"/>
    <row r="134" ht="15" customHeight="1">
      <c r="A134" s="55" t="inlineStr">
        <is>
          <t>Source for DSCR convention: SBA SOP 50 10 8; most SBA 7(a) lenders decline loans with a projected DSCR below 1.25x and test the covenant annually at 1.15x–1.25x.</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2026-08-08T05:42:24Z</dcterms:created>
  <dcterms:modified xsi:type="dcterms:W3CDTF">2026-08-08T06:31:45Z</dcterms:modified>
  <cp:revision>1</cp:revision>
</cp:coreProperties>
</file>